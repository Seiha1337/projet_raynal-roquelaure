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xr:revisionPtr revIDLastSave="0" documentId="13_ncr:11_{90D11FD9-536B-47F4-AFB8-9E20DB224653}" xr6:coauthVersionLast="47" xr6:coauthVersionMax="47" xr10:uidLastSave="{00000000-0000-0000-0000-000000000000}"/>
  <bookViews>
    <workbookView xWindow="-108" yWindow="-108" windowWidth="23256" windowHeight="12456" activeTab="1" xr2:uid="{00000000-000D-0000-FFFF-FFFF00000000}"/>
  </bookViews>
  <sheets>
    <sheet name="PlanningProjet" sheetId="11" r:id="rId1"/>
    <sheet name="Feuil1" sheetId="14" r:id="rId2"/>
  </sheets>
  <definedNames>
    <definedName name="avancement_tâche" localSheetId="1">PlanningProjet!$D1</definedName>
    <definedName name="avancement_tâche" localSheetId="0">PlanningProjet!$D1</definedName>
    <definedName name="ce_jour" localSheetId="0">TODAY()</definedName>
    <definedName name="Début_Projet">PlanningProjet!$E$3</definedName>
    <definedName name="début_tâche" localSheetId="1">PlanningProjet!$E1</definedName>
    <definedName name="début_tâche" localSheetId="0">PlanningProjet!$E1</definedName>
    <definedName name="fin_tâche" localSheetId="1">PlanningProjet!$F1</definedName>
    <definedName name="fin_tâche" localSheetId="0">PlanningProjet!$F1</definedName>
    <definedName name="_xlnm.Print_Titles" localSheetId="0">PlanningProjet!$4:$6</definedName>
    <definedName name="Semaine_Affichage">PlanningProjet!$E$4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9" i="14" l="1"/>
  <c r="G18" i="14"/>
  <c r="G17" i="14"/>
  <c r="G16" i="14"/>
  <c r="G15" i="14"/>
  <c r="G14" i="14"/>
  <c r="G13" i="14"/>
  <c r="G12" i="14"/>
  <c r="G11" i="14"/>
  <c r="G10" i="14"/>
  <c r="G9" i="14"/>
  <c r="G8" i="14"/>
  <c r="G7" i="14"/>
  <c r="H6" i="14"/>
  <c r="H5" i="14"/>
  <c r="I5" i="14" s="1"/>
  <c r="BM5" i="11"/>
  <c r="BN5" i="11" s="1"/>
  <c r="H17" i="11"/>
  <c r="H16" i="11"/>
  <c r="H14" i="11"/>
  <c r="H13" i="11"/>
  <c r="H11" i="11"/>
  <c r="H10" i="11"/>
  <c r="H9" i="11"/>
  <c r="H7" i="11"/>
  <c r="J5" i="14" l="1"/>
  <c r="I6" i="14"/>
  <c r="BN6" i="11"/>
  <c r="BO5" i="11"/>
  <c r="BM6" i="11"/>
  <c r="I5" i="11"/>
  <c r="I6" i="11" s="1"/>
  <c r="H19" i="11"/>
  <c r="H18" i="11"/>
  <c r="H15" i="11"/>
  <c r="H12" i="11"/>
  <c r="H8" i="11"/>
  <c r="K5" i="14" l="1"/>
  <c r="J6" i="14"/>
  <c r="BP5" i="11"/>
  <c r="BO6" i="11"/>
  <c r="J5" i="11"/>
  <c r="L5" i="14" l="1"/>
  <c r="K6" i="14"/>
  <c r="BQ5" i="11"/>
  <c r="BP6" i="11"/>
  <c r="K5" i="11"/>
  <c r="M5" i="14" l="1"/>
  <c r="L6" i="14"/>
  <c r="BR5" i="11"/>
  <c r="BQ6" i="11"/>
  <c r="L5" i="11"/>
  <c r="N5" i="14" l="1"/>
  <c r="M6" i="14"/>
  <c r="BS5" i="11"/>
  <c r="BR6" i="11"/>
  <c r="M5" i="11"/>
  <c r="N6" i="14" l="1"/>
  <c r="O5" i="14"/>
  <c r="BS6" i="11"/>
  <c r="BT5" i="11"/>
  <c r="N5" i="11"/>
  <c r="O6" i="14" l="1"/>
  <c r="P5" i="14"/>
  <c r="BU5" i="11"/>
  <c r="BT6" i="11"/>
  <c r="O5" i="11"/>
  <c r="P6" i="14" l="1"/>
  <c r="Q5" i="14"/>
  <c r="BU6" i="11"/>
  <c r="BV5" i="11"/>
  <c r="P5" i="11"/>
  <c r="P6" i="11" s="1"/>
  <c r="O6" i="11"/>
  <c r="N6" i="11"/>
  <c r="M6" i="11"/>
  <c r="L6" i="11"/>
  <c r="K6" i="11"/>
  <c r="J6" i="11"/>
  <c r="R5" i="14" l="1"/>
  <c r="Q6" i="14"/>
  <c r="BV6" i="11"/>
  <c r="BW5" i="11"/>
  <c r="Q5" i="11"/>
  <c r="S5" i="14" l="1"/>
  <c r="R6" i="14"/>
  <c r="BW6" i="11"/>
  <c r="BX5" i="11"/>
  <c r="R5" i="11"/>
  <c r="T5" i="14" l="1"/>
  <c r="S6" i="14"/>
  <c r="BY5" i="11"/>
  <c r="BX6" i="11"/>
  <c r="S5" i="11"/>
  <c r="T6" i="14" l="1"/>
  <c r="U5" i="14"/>
  <c r="BZ5" i="11"/>
  <c r="BY6" i="11"/>
  <c r="T5" i="11"/>
  <c r="U6" i="14" l="1"/>
  <c r="V5" i="14"/>
  <c r="CA5" i="11"/>
  <c r="BZ6" i="11"/>
  <c r="U5" i="11"/>
  <c r="W5" i="14" l="1"/>
  <c r="V6" i="14"/>
  <c r="CB5" i="11"/>
  <c r="CA6" i="11"/>
  <c r="V5" i="11"/>
  <c r="X5" i="14" l="1"/>
  <c r="W6" i="14"/>
  <c r="CC5" i="11"/>
  <c r="CB6" i="11"/>
  <c r="W5" i="11"/>
  <c r="W6" i="11" s="1"/>
  <c r="V6" i="11"/>
  <c r="U6" i="11"/>
  <c r="T6" i="11"/>
  <c r="S6" i="11"/>
  <c r="R6" i="11"/>
  <c r="Q6" i="11"/>
  <c r="X5" i="11"/>
  <c r="Y5" i="14" l="1"/>
  <c r="X6" i="14"/>
  <c r="CC6" i="11"/>
  <c r="CD5" i="11"/>
  <c r="Y5" i="11"/>
  <c r="Z5" i="14" l="1"/>
  <c r="Y6" i="14"/>
  <c r="CE5" i="11"/>
  <c r="CD6" i="11"/>
  <c r="Z5" i="11"/>
  <c r="AA5" i="14" l="1"/>
  <c r="Z6" i="14"/>
  <c r="CF5" i="11"/>
  <c r="CE6" i="11"/>
  <c r="AA5" i="11"/>
  <c r="AA6" i="14" l="1"/>
  <c r="AB5" i="14"/>
  <c r="CG5" i="11"/>
  <c r="CF6" i="11"/>
  <c r="AB5" i="11"/>
  <c r="AB6" i="14" l="1"/>
  <c r="AC5" i="14"/>
  <c r="CH5" i="11"/>
  <c r="CG6" i="11"/>
  <c r="AC5" i="11"/>
  <c r="AC6" i="14" l="1"/>
  <c r="AD5" i="14"/>
  <c r="CH6" i="11"/>
  <c r="CI5" i="11"/>
  <c r="AD5" i="11"/>
  <c r="AD6" i="11" s="1"/>
  <c r="AC6" i="11"/>
  <c r="AB6" i="11"/>
  <c r="AA6" i="11"/>
  <c r="Z6" i="11"/>
  <c r="Y6" i="11"/>
  <c r="X6" i="11"/>
  <c r="AE5" i="11"/>
  <c r="AE5" i="14" l="1"/>
  <c r="AD6" i="14"/>
  <c r="CI6" i="11"/>
  <c r="CJ5" i="11"/>
  <c r="AF5" i="11"/>
  <c r="AE6" i="14" l="1"/>
  <c r="AF5" i="14"/>
  <c r="CJ6" i="11"/>
  <c r="CK5" i="11"/>
  <c r="AG5" i="11"/>
  <c r="AG5" i="14" l="1"/>
  <c r="AF6" i="14"/>
  <c r="CL5" i="11"/>
  <c r="CK6" i="11"/>
  <c r="AH5" i="11"/>
  <c r="AH5" i="14" l="1"/>
  <c r="AG6" i="14"/>
  <c r="CL6" i="11"/>
  <c r="CM5" i="11"/>
  <c r="AI5" i="11"/>
  <c r="AI5" i="14" l="1"/>
  <c r="AH6" i="14"/>
  <c r="CN5" i="11"/>
  <c r="CN6" i="11" s="1"/>
  <c r="CM6" i="11"/>
  <c r="AJ5" i="11"/>
  <c r="AJ6" i="11" s="1"/>
  <c r="AI6" i="11"/>
  <c r="AH6" i="11"/>
  <c r="AG6" i="11"/>
  <c r="AF6" i="11"/>
  <c r="AE6" i="11"/>
  <c r="AJ5" i="14" l="1"/>
  <c r="AI6" i="14"/>
  <c r="AK5" i="11"/>
  <c r="AJ6" i="14" l="1"/>
  <c r="AK5" i="14"/>
  <c r="AL5" i="11"/>
  <c r="AL5" i="14" l="1"/>
  <c r="AK6" i="14"/>
  <c r="AM5" i="11"/>
  <c r="AM5" i="14" l="1"/>
  <c r="AL6" i="14"/>
  <c r="AN5" i="11"/>
  <c r="AM6" i="14" l="1"/>
  <c r="AN5" i="14"/>
  <c r="AO5" i="11"/>
  <c r="AN6" i="14" l="1"/>
  <c r="AO5" i="14"/>
  <c r="AP5" i="11"/>
  <c r="AO6" i="14" l="1"/>
  <c r="AP5" i="14"/>
  <c r="AQ5" i="11"/>
  <c r="AQ6" i="11" s="1"/>
  <c r="AP6" i="11"/>
  <c r="AO6" i="11"/>
  <c r="AN6" i="11"/>
  <c r="AM6" i="11"/>
  <c r="AL6" i="11"/>
  <c r="AK6" i="11"/>
  <c r="AR5" i="11"/>
  <c r="AQ5" i="14" l="1"/>
  <c r="AP6" i="14"/>
  <c r="AS5" i="11"/>
  <c r="AS6" i="11" s="1"/>
  <c r="AR6" i="11"/>
  <c r="AR5" i="14" l="1"/>
  <c r="AQ6" i="14"/>
  <c r="AT5" i="11"/>
  <c r="AT6" i="11" s="1"/>
  <c r="AS5" i="14" l="1"/>
  <c r="AR6" i="14"/>
  <c r="AU5" i="11"/>
  <c r="AU6" i="11" s="1"/>
  <c r="AS6" i="14" l="1"/>
  <c r="AT5" i="14"/>
  <c r="AV5" i="11"/>
  <c r="AV6" i="11" s="1"/>
  <c r="AU5" i="14" l="1"/>
  <c r="AT6" i="14"/>
  <c r="AW5" i="11"/>
  <c r="AW6" i="11" s="1"/>
  <c r="AV5" i="14" l="1"/>
  <c r="AU6" i="14"/>
  <c r="AX5" i="11"/>
  <c r="AV6" i="14" l="1"/>
  <c r="AW5" i="14"/>
  <c r="AY5" i="11"/>
  <c r="AY6" i="11" s="1"/>
  <c r="AX6" i="11"/>
  <c r="AX5" i="14" l="1"/>
  <c r="AW6" i="14"/>
  <c r="AZ5" i="11"/>
  <c r="AZ6" i="11" s="1"/>
  <c r="AX6" i="14" l="1"/>
  <c r="AY5" i="14"/>
  <c r="BA5" i="11"/>
  <c r="BA6" i="11" s="1"/>
  <c r="AY6" i="14" l="1"/>
  <c r="AZ5" i="14"/>
  <c r="BB5" i="11"/>
  <c r="BB6" i="11" s="1"/>
  <c r="BC5" i="11"/>
  <c r="BC6" i="11" s="1"/>
  <c r="AZ6" i="14" l="1"/>
  <c r="BA5" i="14"/>
  <c r="BD5" i="11"/>
  <c r="BD6" i="11" s="1"/>
  <c r="BB5" i="14" l="1"/>
  <c r="BA6" i="14"/>
  <c r="BE5" i="11"/>
  <c r="BE6" i="11" s="1"/>
  <c r="BC5" i="14" l="1"/>
  <c r="BB6" i="14"/>
  <c r="BF5" i="11"/>
  <c r="BF6" i="11" s="1"/>
  <c r="BC6" i="14" l="1"/>
  <c r="BD5" i="14"/>
  <c r="BG5" i="11"/>
  <c r="BG6" i="11" s="1"/>
  <c r="BD6" i="14" l="1"/>
  <c r="BE5" i="14"/>
  <c r="BH5" i="11"/>
  <c r="BH6" i="11" s="1"/>
  <c r="BF5" i="14" l="1"/>
  <c r="BE6" i="14"/>
  <c r="BI5" i="11"/>
  <c r="BI6" i="11" s="1"/>
  <c r="BG5" i="14" l="1"/>
  <c r="BF6" i="14"/>
  <c r="BJ5" i="11"/>
  <c r="BJ6" i="11" s="1"/>
  <c r="BH5" i="14" l="1"/>
  <c r="BG6" i="14"/>
  <c r="BK5" i="11"/>
  <c r="BK6" i="11" s="1"/>
  <c r="BI5" i="14" l="1"/>
  <c r="BH6" i="14"/>
  <c r="BL5" i="11"/>
  <c r="BJ5" i="14" l="1"/>
  <c r="BI6" i="14"/>
  <c r="BL6" i="11"/>
  <c r="BK5" i="14" l="1"/>
  <c r="BK6" i="14" s="1"/>
  <c r="BJ6" i="14"/>
</calcChain>
</file>

<file path=xl/sharedStrings.xml><?xml version="1.0" encoding="utf-8"?>
<sst xmlns="http://schemas.openxmlformats.org/spreadsheetml/2006/main" count="63" uniqueCount="39">
  <si>
    <t>Créez un planning de projet dans cette feuille de calcul.
Entrez le titre de ce projet dans la cellule B1. 
Des informations sur l’utilisation de cette feuille de calcul, notamment des instructions pour les lecteurs d’écran et l’auteur de ce classeur, figurent dans la feuille de calcul À propos.
Continuez à parcourir la colonne A pour entendre des instructions supplémentaires.</t>
  </si>
  <si>
    <t>Entrez le nom de la société dans la cellule B2.</t>
  </si>
  <si>
    <t>Entrez le nom du chef de projet dans la cellule B3. Entrez la date de début du projet dans la cellule E3. Début du projet : l’étiquette figure dans la cellule C3.</t>
  </si>
  <si>
    <t>La semaine d’affichage dans la cellule E4 représente la semaine de début à afficher dans le planning de projet dans la cellule I4. La date de début du projet est considérée comme étant la semaine 1. Pour modifier la semaine d’affichage, entrez simplement un nouveau numéro de semaine dans la cellule E4.
La date de début pour chaque semaine, à commencer par la semaine d’affichage dans la cellule E4, figure dans la cellule I4 et est calculée automatiquement. Cet affichage représente 8 semaines, de cellule I4 à la cellule BF4.
Vous ne devez pas modifier ces cellules.
Semaine d’affichage : l’étiquette figure dans la cellule C4.</t>
  </si>
  <si>
    <t>Les cellules I5 à BL5 contiennent le numéro de jour pour la semaine représentée dans le bloc de cellules au-dessus de chaque cellule de date, et leurs valeurs sont calculées automatiquement.
Vous ne devez pas modifier ces cellules.
La date du jour est entourée de rouge (hex #AD3815), depuis la date du jour dans la ligne 5 jusqu’à la colonne de date entière à la fin du planning de projet.</t>
  </si>
  <si>
    <t>Cette ligne contient des en-têtes pour le planning de projet figurant en dessous. 
Naviguez des cellules B6 à BL6 pour entendre l’énoncé du contenu. Première lettre de chaque jour de la semaine pour la date figurant au-dessus de cet en-tête. Commence dans la cellule I6, et s’étend jusqu’à la cellule BL6.
Le tracé de la chronologie du projet est généré automatiquement en fonction des dates de début et de fin entrées, à l’aide de formats conditionnels.
Ne modifiez pas le contenu des cellules des colonnes au-delà de la colonne I commençant à la cellule I7.</t>
  </si>
  <si>
    <t xml:space="preserve">Ne supprimez pas cette ligne. Cette ligne est masquée afin de préserver une formule utilisée pour mettre en évidence le jour en cours au sein du planning de projet. </t>
  </si>
  <si>
    <t>La cellule B8 contient l’exemple de titre Phase 1. 
Entrez un nouveau titre dans la cellule B8.
Entrez un nom auquel attribuer la phase, s’il s’applique à votre projet, dans la cellule C8.
Entrez l’avancement pour la phase entière, si cela s’applique à votre projet, dans la cellule D8.
Entrez les dates de début et de fin de la phase entière, si cela s’applique à votre projet, dans les cellules E8 et F8. 
Le diagramme de Gantt remplit automatiquement les dates et ombres appropriées en fonction de l’avancement entré.
Pour supprimer la phase et travailler uniquement à partir de tâches, supprimez simplement cette ligne.</t>
  </si>
  <si>
    <t xml:space="preserve">La cellule B9 contient l’exemple de tâche « Tâche 1 ». 
Entrez un nouveau nom de tâche dans la cellule B9.
Entrez une personne à laquelle attribuer la tâche dans la cellule C9.
Entrez l’avancement de la tâche dans la cellule D9. Une barre de progression apparaît dans la cellule, qui est ombrée en fonction du nombre figurant dans la cellule. Par exemple, un avancement de 50 pour cent ombre la moitié de la cellule.
Entrez la date de début de la tâche dans la cellule E9.
Entrez la date de fin de tâche dans la cellule F9.
Une barre d’état ombrée pour les dates entrées apparaît dans les blocs de la cellule I9 à la cellule BL9. </t>
  </si>
  <si>
    <t>Les lignes 10 à 13 répètent le modèle de la ligne 9. 
Répétez les instructions de la cellule A9 pour toutes les lignes de tâche dans cette feuille de calcul. Remplacez les exemples de données.
Un exemple d’une autre phase commence à la cellule A14. 
Continuez d’entrer des tâches dans les cellules A10 à A13, ou accédez à la cellule A14 pour en savoir plus.</t>
  </si>
  <si>
    <t>La cellule à droite contient l’exemple titre Phase 2. 
Vous pouvez créer une phase à tout moment dans la colonne B. Ce planning de projet n’exige pas de phases. Pour supprimer la phase, supprimez simplement la ligne.
Pour créer un bloc de nouvelle phase dans cette ligne, entrez un nouveau titre dans la cellule à droite.
Pour ajouter une tâche à la phase au-dessus, entrez une nouvelle ligne au-dessus de celle-ci, puis remplissez-la des données de la tâche comme dans l’instruction de la cellule A9.
Mettez à jour les détails de la phase dans la cellule à droite en fonction de l’instruction de la cellule A8.
Continuez de naviguer vers le bas dans les cellules de la colonne A pour en savoir plus.
Si vous n’avez pas ajouté de nouvelles lignes dans cette feuille de calcul, vous constaterez que 2 exemples de blocs de phase supplémentaires ont été créés pour vous dans les cellules B20 et B26. Dans le cas contraire, naviguez dans les cellules de la colonne A pour trouver des blocs supplémentaires. 
Répétez les instructions des cellules A8 et A9 chaque fois que c’est nécessaire.</t>
  </si>
  <si>
    <t>Exemple de bloc de titre de phase</t>
  </si>
  <si>
    <t>Ceci est une ligne vide.</t>
  </si>
  <si>
    <t>Cette ligne marque la fin du planning de projet. N’ENTREZ rien dans cette ligne. 
Insérez de nouvelles lignes au-dessus de celle-ci pour continuer d’élaborer votre planning de projet.</t>
  </si>
  <si>
    <t>TÂCHE</t>
  </si>
  <si>
    <t>Insérez les nouvelle lignes au-dessus de celle-ci.</t>
  </si>
  <si>
    <t>Début du projet :</t>
  </si>
  <si>
    <t>Semaine d’affichage :</t>
  </si>
  <si>
    <t>ATTRIBUÉE
À</t>
  </si>
  <si>
    <t>AVANCEMENT</t>
  </si>
  <si>
    <t>DÉBUT</t>
  </si>
  <si>
    <t>FIN</t>
  </si>
  <si>
    <t>JOURS</t>
  </si>
  <si>
    <t>GANTT - Projet IoT Modbus</t>
  </si>
  <si>
    <t>Phase 1 - Analyse &amp; Développement</t>
  </si>
  <si>
    <t>Étude des automates : Recensement des adresses IP et identification des registres Modbus</t>
  </si>
  <si>
    <t>Développement du Driver : Écriture du script Node.js et tests de lecture Modbus sur l'OPTA</t>
  </si>
  <si>
    <t>Conteneurisation IoT : Création du Dockerfile et automatisation via GitHub Actions</t>
  </si>
  <si>
    <t>Phase 2 - Intégration &amp; Optimisation</t>
  </si>
  <si>
    <t>Liaison &amp; Fiabilisation : Connexion à la BDD MariaDB + bouclier anti-crash</t>
  </si>
  <si>
    <t>Optimisation Industrielle : Réglage fréquence 1 min, déploiement Docker Compose</t>
  </si>
  <si>
    <t>Phase 3 - Finalisation &amp; Validation</t>
  </si>
  <si>
    <t>Journalisation Avancée : Journal d'incidents précis et Throttling (10 min)</t>
  </si>
  <si>
    <t>Tests de Robustesse &amp; Recette : Simulations de pannes et validation chaîne complète</t>
  </si>
  <si>
    <t>Payen Armand</t>
  </si>
  <si>
    <t>RAYNAL&amp;ROQUELAURE</t>
  </si>
  <si>
    <t>JANVIER</t>
  </si>
  <si>
    <t>FEVRIER</t>
  </si>
  <si>
    <t>MARS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</si>
</sst>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d\,\ m/d/yyyy"/>
    <numFmt numFmtId="167" formatCode="d/m/yy;@"/>
    <numFmt numFmtId="168" formatCode="d\ mmm\ yyyy"/>
    <numFmt numFmtId="169" formatCode="d"/>
    <numFmt numFmtId="170" formatCode="ddd\,\ d/m/yyyy"/>
    <numFmt numFmtId="171" formatCode="d/m/yy"/>
  </numFmts>
  <fonts count="31"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7"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9"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0" fillId="0" borderId="0" applyNumberFormat="0" applyFill="0" applyBorder="0" applyAlignment="0" applyProtection="0"/>
    <xf numFmtId="0" fontId="21" fillId="12" borderId="0" applyNumberFormat="0" applyBorder="0" applyAlignment="0" applyProtection="0"/>
    <xf numFmtId="0" fontId="22" fillId="13" borderId="0" applyNumberFormat="0" applyBorder="0" applyAlignment="0" applyProtection="0"/>
    <xf numFmtId="0" fontId="23" fillId="14" borderId="0" applyNumberFormat="0" applyBorder="0" applyAlignment="0" applyProtection="0"/>
    <xf numFmtId="0" fontId="24" fillId="15" borderId="11" applyNumberFormat="0" applyAlignment="0" applyProtection="0"/>
    <xf numFmtId="0" fontId="25" fillId="16" borderId="12" applyNumberFormat="0" applyAlignment="0" applyProtection="0"/>
    <xf numFmtId="0" fontId="26" fillId="16" borderId="11" applyNumberFormat="0" applyAlignment="0" applyProtection="0"/>
    <xf numFmtId="0" fontId="27" fillId="0" borderId="13" applyNumberFormat="0" applyFill="0" applyAlignment="0" applyProtection="0"/>
    <xf numFmtId="0" fontId="28" fillId="17" borderId="14" applyNumberFormat="0" applyAlignment="0" applyProtection="0"/>
    <xf numFmtId="0" fontId="29" fillId="0" borderId="0" applyNumberFormat="0" applyFill="0" applyBorder="0" applyAlignment="0" applyProtection="0"/>
    <xf numFmtId="0" fontId="9" fillId="18" borderId="15" applyNumberFormat="0" applyFont="0" applyAlignment="0" applyProtection="0"/>
    <xf numFmtId="0" fontId="30" fillId="0" borderId="0" applyNumberFormat="0" applyFill="0" applyBorder="0" applyAlignment="0" applyProtection="0"/>
    <xf numFmtId="0" fontId="6" fillId="0" borderId="16" applyNumberFormat="0" applyFill="0" applyAlignment="0" applyProtection="0"/>
    <xf numFmtId="0" fontId="16"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16"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16"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16"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xf numFmtId="0" fontId="16"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38" borderId="0" applyNumberFormat="0" applyBorder="0" applyAlignment="0" applyProtection="0"/>
    <xf numFmtId="0" fontId="16" fillId="39" borderId="0" applyNumberFormat="0" applyBorder="0" applyAlignment="0" applyProtection="0"/>
    <xf numFmtId="0" fontId="9" fillId="40" borderId="0" applyNumberFormat="0" applyBorder="0" applyAlignment="0" applyProtection="0"/>
    <xf numFmtId="0" fontId="9" fillId="41" borderId="0" applyNumberFormat="0" applyBorder="0" applyAlignment="0" applyProtection="0"/>
    <xf numFmtId="0" fontId="9" fillId="42" borderId="0" applyNumberFormat="0" applyBorder="0" applyAlignment="0" applyProtection="0"/>
  </cellStyleXfs>
  <cellXfs count="78">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1" borderId="1" xfId="0" applyFont="1" applyFill="1" applyBorder="1" applyAlignment="1">
      <alignment horizontal="left" vertical="center" indent="1"/>
    </xf>
    <xf numFmtId="0" fontId="7" fillId="11" borderId="1" xfId="0" applyFont="1" applyFill="1" applyBorder="1" applyAlignment="1">
      <alignment horizontal="center" vertical="center" wrapText="1"/>
    </xf>
    <xf numFmtId="0" fontId="12" fillId="10"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7" borderId="2" xfId="0" applyFont="1" applyFill="1" applyBorder="1" applyAlignment="1">
      <alignment horizontal="left" vertical="center" indent="1"/>
    </xf>
    <xf numFmtId="9" fontId="5" fillId="7"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9"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7" borderId="2" xfId="11" applyFill="1">
      <alignment horizontal="center" vertical="center"/>
    </xf>
    <xf numFmtId="0" fontId="9" fillId="3" borderId="2" xfId="11" applyFill="1">
      <alignment horizontal="center" vertical="center"/>
    </xf>
    <xf numFmtId="0" fontId="9" fillId="8" borderId="2" xfId="11" applyFill="1">
      <alignment horizontal="center" vertical="center"/>
    </xf>
    <xf numFmtId="0" fontId="9" fillId="4" borderId="2" xfId="11" applyFill="1">
      <alignment horizontal="center" vertical="center"/>
    </xf>
    <xf numFmtId="0" fontId="9" fillId="5" borderId="2" xfId="11" applyFill="1">
      <alignment horizontal="center" vertical="center"/>
    </xf>
    <xf numFmtId="0" fontId="9" fillId="9"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9" borderId="2" xfId="12" applyFill="1">
      <alignment horizontal="left" vertical="center" indent="2"/>
    </xf>
    <xf numFmtId="0" fontId="9" fillId="0" borderId="2" xfId="12">
      <alignment horizontal="left" vertical="center" indent="2"/>
    </xf>
    <xf numFmtId="0" fontId="0" fillId="0" borderId="10" xfId="0" applyBorder="1"/>
    <xf numFmtId="0" fontId="17" fillId="0" borderId="0" xfId="0" applyFont="1"/>
    <xf numFmtId="0" fontId="18" fillId="0" borderId="0" xfId="1" applyFont="1" applyProtection="1">
      <alignment vertical="top"/>
    </xf>
    <xf numFmtId="167" fontId="0" fillId="7" borderId="2" xfId="0" applyNumberFormat="1" applyFill="1" applyBorder="1" applyAlignment="1">
      <alignment horizontal="center" vertical="center"/>
    </xf>
    <xf numFmtId="167" fontId="5" fillId="7" borderId="2" xfId="0" applyNumberFormat="1" applyFont="1" applyFill="1" applyBorder="1" applyAlignment="1">
      <alignment horizontal="center" vertical="center"/>
    </xf>
    <xf numFmtId="167" fontId="0" fillId="8" borderId="2" xfId="0" applyNumberFormat="1" applyFill="1" applyBorder="1" applyAlignment="1">
      <alignment horizontal="center" vertical="center"/>
    </xf>
    <xf numFmtId="167" fontId="5" fillId="8" borderId="2" xfId="0" applyNumberFormat="1" applyFont="1" applyFill="1" applyBorder="1" applyAlignment="1">
      <alignment horizontal="center" vertical="center"/>
    </xf>
    <xf numFmtId="167" fontId="0" fillId="5" borderId="2" xfId="0" applyNumberFormat="1" applyFill="1" applyBorder="1" applyAlignment="1">
      <alignment horizontal="center" vertical="center"/>
    </xf>
    <xf numFmtId="167" fontId="5" fillId="5" borderId="2" xfId="0" applyNumberFormat="1" applyFont="1" applyFill="1" applyBorder="1" applyAlignment="1">
      <alignment horizontal="center" vertical="center"/>
    </xf>
    <xf numFmtId="167" fontId="9" fillId="0" borderId="2" xfId="10">
      <alignment horizontal="center" vertical="center"/>
    </xf>
    <xf numFmtId="167" fontId="4" fillId="2" borderId="2" xfId="0" applyNumberFormat="1" applyFont="1" applyFill="1" applyBorder="1" applyAlignment="1">
      <alignment horizontal="left" vertical="center"/>
    </xf>
    <xf numFmtId="167" fontId="5" fillId="2" borderId="2" xfId="0" applyNumberFormat="1" applyFont="1" applyFill="1" applyBorder="1" applyAlignment="1">
      <alignment horizontal="center" vertical="center"/>
    </xf>
    <xf numFmtId="169" fontId="11" fillId="6" borderId="6" xfId="0" applyNumberFormat="1" applyFont="1" applyFill="1" applyBorder="1" applyAlignment="1">
      <alignment horizontal="center" vertical="center"/>
    </xf>
    <xf numFmtId="169" fontId="11" fillId="6" borderId="0" xfId="0" applyNumberFormat="1" applyFont="1" applyFill="1" applyAlignment="1">
      <alignment horizontal="center" vertical="center"/>
    </xf>
    <xf numFmtId="169" fontId="11" fillId="6" borderId="7" xfId="0" applyNumberFormat="1" applyFont="1" applyFill="1" applyBorder="1" applyAlignment="1">
      <alignment horizontal="center" vertical="center"/>
    </xf>
    <xf numFmtId="168" fontId="0" fillId="6" borderId="4" xfId="0" applyNumberFormat="1" applyFill="1" applyBorder="1" applyAlignment="1">
      <alignment horizontal="left" vertical="center" wrapText="1" indent="1"/>
    </xf>
    <xf numFmtId="168" fontId="0" fillId="6" borderId="1" xfId="0" applyNumberFormat="1" applyFill="1" applyBorder="1" applyAlignment="1">
      <alignment horizontal="left" vertical="center" wrapText="1" indent="1"/>
    </xf>
    <xf numFmtId="168" fontId="0" fillId="6" borderId="5" xfId="0" applyNumberFormat="1" applyFill="1" applyBorder="1" applyAlignment="1">
      <alignment horizontal="left" vertical="center" wrapText="1" indent="1"/>
    </xf>
    <xf numFmtId="166" fontId="9" fillId="0" borderId="3" xfId="9">
      <alignment horizontal="center" vertical="center"/>
    </xf>
    <xf numFmtId="0" fontId="9" fillId="0" borderId="0" xfId="8">
      <alignment horizontal="right" indent="1"/>
    </xf>
    <xf numFmtId="0" fontId="9" fillId="0" borderId="7" xfId="8" applyBorder="1">
      <alignment horizontal="right" indent="1"/>
    </xf>
    <xf numFmtId="170" fontId="9" fillId="0" borderId="3" xfId="9" applyNumberFormat="1">
      <alignment horizontal="center" vertical="center"/>
    </xf>
    <xf numFmtId="171" fontId="9" fillId="3" borderId="2" xfId="10" applyNumberFormat="1" applyFill="1">
      <alignment horizontal="center" vertical="center"/>
    </xf>
    <xf numFmtId="171" fontId="9" fillId="4" borderId="2" xfId="10" applyNumberFormat="1" applyFill="1">
      <alignment horizontal="center" vertical="center"/>
    </xf>
    <xf numFmtId="171" fontId="9" fillId="9" borderId="2" xfId="10" applyNumberFormat="1" applyFill="1">
      <alignment horizontal="center" vertical="center"/>
    </xf>
    <xf numFmtId="0" fontId="0" fillId="43" borderId="9" xfId="0" applyFill="1" applyBorder="1" applyAlignment="1">
      <alignment vertical="center"/>
    </xf>
    <xf numFmtId="0" fontId="0" fillId="43" borderId="9" xfId="0" applyFill="1" applyBorder="1" applyAlignment="1">
      <alignment horizontal="right" vertical="center"/>
    </xf>
    <xf numFmtId="0" fontId="0" fillId="0" borderId="9" xfId="0" applyFill="1" applyBorder="1" applyAlignment="1">
      <alignment vertical="center"/>
    </xf>
  </cellXfs>
  <cellStyles count="54">
    <cellStyle name="20 % - Accent1" xfId="31" builtinId="30" customBuiltin="1"/>
    <cellStyle name="20 % - Accent2" xfId="35" builtinId="34" customBuiltin="1"/>
    <cellStyle name="20 % - Accent3" xfId="39" builtinId="38" customBuiltin="1"/>
    <cellStyle name="20 % - Accent4" xfId="43" builtinId="42" customBuiltin="1"/>
    <cellStyle name="20 % - Accent5" xfId="47" builtinId="46" customBuiltin="1"/>
    <cellStyle name="20 % - Accent6" xfId="51" builtinId="50" customBuiltin="1"/>
    <cellStyle name="40 % - Accent1" xfId="32" builtinId="31" customBuiltin="1"/>
    <cellStyle name="40 % - Accent2" xfId="36" builtinId="35" customBuiltin="1"/>
    <cellStyle name="40 % - Accent3" xfId="40" builtinId="39" customBuiltin="1"/>
    <cellStyle name="40 % - Accent4" xfId="44" builtinId="43" customBuiltin="1"/>
    <cellStyle name="40 % - Accent5" xfId="48" builtinId="47" customBuiltin="1"/>
    <cellStyle name="40 % - Accent6" xfId="52" builtinId="51" customBuiltin="1"/>
    <cellStyle name="60 % - Accent1" xfId="33" builtinId="32" customBuiltin="1"/>
    <cellStyle name="60 % - Accent2" xfId="37" builtinId="36" customBuiltin="1"/>
    <cellStyle name="60 % - Accent3" xfId="41" builtinId="40" customBuiltin="1"/>
    <cellStyle name="60 % - Accent4" xfId="45" builtinId="44" customBuiltin="1"/>
    <cellStyle name="60 % - Accent5" xfId="49" builtinId="48" customBuiltin="1"/>
    <cellStyle name="60 %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vertissement" xfId="26" builtinId="11" customBuiltin="1"/>
    <cellStyle name="Calcul" xfId="23" builtinId="22" customBuiltin="1"/>
    <cellStyle name="Cellule liée" xfId="24" builtinId="24" customBuiltin="1"/>
    <cellStyle name="Date" xfId="10" xr:uid="{229918B6-DD13-4F5A-97B9-305F7E002AA3}"/>
    <cellStyle name="Début du projet" xfId="9" xr:uid="{8EB8A09A-C31C-40A3-B2C1-9449520178B8}"/>
    <cellStyle name="Entrée" xfId="21" builtinId="20" customBuiltin="1"/>
    <cellStyle name="Insatisfaisant" xfId="19" builtinId="27" customBuiltin="1"/>
    <cellStyle name="Lien hypertexte" xfId="1" builtinId="8" customBuiltin="1"/>
    <cellStyle name="Lien hypertexte visité" xfId="13" builtinId="9" customBuiltin="1"/>
    <cellStyle name="Milliers" xfId="4" builtinId="3" customBuiltin="1"/>
    <cellStyle name="Milliers [0]" xfId="14" builtinId="6" customBuiltin="1"/>
    <cellStyle name="Monétaire" xfId="15" builtinId="4" customBuiltin="1"/>
    <cellStyle name="Monétaire [0]" xfId="16" builtinId="7" customBuiltin="1"/>
    <cellStyle name="Neutre" xfId="20" builtinId="28" customBuiltin="1"/>
    <cellStyle name="Nom" xfId="11" xr:uid="{B2D3C1EE-6B41-4801-AAFC-C2274E49E503}"/>
    <cellStyle name="Normal" xfId="0" builtinId="0" customBuiltin="1"/>
    <cellStyle name="Note" xfId="27" builtinId="10" customBuiltin="1"/>
    <cellStyle name="Pourcentage" xfId="2" builtinId="5" customBuiltin="1"/>
    <cellStyle name="Satisfaisant" xfId="18" builtinId="26" customBuiltin="1"/>
    <cellStyle name="Sortie" xfId="22" builtinId="21" customBuiltin="1"/>
    <cellStyle name="Tâche" xfId="12" xr:uid="{6391D789-272B-4DD2-9BF3-2CDCF610FA41}"/>
    <cellStyle name="Texte explicatif" xfId="28" builtinId="53" customBuiltin="1"/>
    <cellStyle name="Titre" xfId="5" builtinId="15" customBuiltin="1"/>
    <cellStyle name="Titre 1" xfId="6" builtinId="16" customBuiltin="1"/>
    <cellStyle name="Titre 2" xfId="7" builtinId="17" customBuiltin="1"/>
    <cellStyle name="Titre 3" xfId="8" builtinId="18" customBuiltin="1"/>
    <cellStyle name="Titre 4" xfId="17" builtinId="19" customBuiltin="1"/>
    <cellStyle name="Total" xfId="29" builtinId="25" customBuiltin="1"/>
    <cellStyle name="Vérification" xfId="25" builtinId="23" customBuiltin="1"/>
    <cellStyle name="zTexteMasqué" xfId="3" xr:uid="{26E66EE6-E33F-4D77-BAE4-0FB4F5BBF673}"/>
  </cellStyles>
  <dxfs count="174">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eTâches" pivot="0" count="9" xr9:uid="{00000000-0011-0000-FFFF-FFFF00000000}">
      <tableStyleElement type="wholeTable" dxfId="173"/>
      <tableStyleElement type="headerRow" dxfId="172"/>
      <tableStyleElement type="totalRow" dxfId="171"/>
      <tableStyleElement type="firstColumn" dxfId="170"/>
      <tableStyleElement type="lastColumn" dxfId="169"/>
      <tableStyleElement type="firstRowStripe" dxfId="168"/>
      <tableStyleElement type="secondRowStripe" dxfId="167"/>
      <tableStyleElement type="firstColumnStripe" dxfId="166"/>
      <tableStyleElement type="secondColumnStripe" dxfId="16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vertex42.com/ExcelTemplates/simple-gantt-chart.html?utm_source=ms&amp;utm_medium=file&amp;utm_campaign=office&amp;utm_content=tex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N22"/>
  <sheetViews>
    <sheetView showGridLines="0" showRuler="0" zoomScale="55" zoomScaleNormal="83" zoomScalePageLayoutView="70" workbookViewId="0">
      <pane ySplit="6" topLeftCell="A8" activePane="bottomLeft" state="frozen"/>
      <selection pane="bottomLeft" activeCell="BL19" sqref="B1:BL19"/>
    </sheetView>
  </sheetViews>
  <sheetFormatPr baseColWidth="10" defaultColWidth="9.109375" defaultRowHeight="30" customHeight="1" x14ac:dyDescent="0.3"/>
  <cols>
    <col min="1" max="1" width="2.6640625" style="32" customWidth="1"/>
    <col min="2" max="2" width="46.6640625" customWidth="1"/>
    <col min="3" max="3" width="32.88671875" customWidth="1"/>
    <col min="4" max="4" width="12.6640625" customWidth="1"/>
    <col min="5" max="5" width="10.44140625" style="5" customWidth="1"/>
    <col min="6" max="6" width="10.44140625" customWidth="1"/>
    <col min="7" max="7" width="2.6640625" customWidth="1"/>
    <col min="8" max="8" width="9.5546875" hidden="1" customWidth="1"/>
    <col min="9" max="64" width="2.5546875" customWidth="1"/>
    <col min="69" max="70" width="10.33203125"/>
  </cols>
  <sheetData>
    <row r="1" spans="1:92" ht="30" customHeight="1" x14ac:dyDescent="0.55000000000000004">
      <c r="A1" s="33" t="s">
        <v>0</v>
      </c>
      <c r="B1" s="36" t="s">
        <v>35</v>
      </c>
      <c r="C1" s="1"/>
      <c r="D1" s="2"/>
      <c r="E1" s="4"/>
      <c r="F1" s="31"/>
      <c r="H1" s="2"/>
      <c r="I1" s="51" t="s">
        <v>23</v>
      </c>
    </row>
    <row r="2" spans="1:92" ht="30" customHeight="1" x14ac:dyDescent="0.35">
      <c r="A2" s="32" t="s">
        <v>1</v>
      </c>
      <c r="B2" s="37"/>
      <c r="I2" s="52"/>
    </row>
    <row r="3" spans="1:92" ht="30" customHeight="1" x14ac:dyDescent="0.3">
      <c r="A3" s="32" t="s">
        <v>2</v>
      </c>
      <c r="B3" s="38" t="s">
        <v>34</v>
      </c>
      <c r="C3" s="69" t="s">
        <v>16</v>
      </c>
      <c r="D3" s="70"/>
      <c r="E3" s="71">
        <v>46027</v>
      </c>
      <c r="F3" s="68"/>
    </row>
    <row r="4" spans="1:92" ht="30" customHeight="1" x14ac:dyDescent="0.3">
      <c r="A4" s="33" t="s">
        <v>3</v>
      </c>
      <c r="C4" s="69" t="s">
        <v>17</v>
      </c>
      <c r="D4" s="70"/>
      <c r="E4" s="7">
        <v>1</v>
      </c>
      <c r="I4" s="65" t="s">
        <v>36</v>
      </c>
      <c r="J4" s="66"/>
      <c r="K4" s="66"/>
      <c r="L4" s="66"/>
      <c r="M4" s="66"/>
      <c r="N4" s="66"/>
      <c r="O4" s="66"/>
      <c r="P4" s="66"/>
      <c r="Q4" s="66"/>
      <c r="R4" s="66"/>
      <c r="S4" s="66"/>
      <c r="T4" s="66"/>
      <c r="U4" s="66"/>
      <c r="V4" s="66"/>
      <c r="W4" s="66"/>
      <c r="X4" s="66"/>
      <c r="Y4" s="66"/>
      <c r="Z4" s="66"/>
      <c r="AA4" s="66"/>
      <c r="AB4" s="66"/>
      <c r="AC4" s="66"/>
      <c r="AD4" s="66"/>
      <c r="AE4" s="66"/>
      <c r="AF4" s="66"/>
      <c r="AG4" s="66"/>
      <c r="AH4" s="66"/>
      <c r="AI4" s="66"/>
      <c r="AJ4" s="67"/>
      <c r="AK4" s="65" t="s">
        <v>37</v>
      </c>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6"/>
      <c r="BL4" s="67"/>
      <c r="BM4" s="65" t="s">
        <v>38</v>
      </c>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7"/>
    </row>
    <row r="5" spans="1:92" ht="15" customHeight="1" x14ac:dyDescent="0.3">
      <c r="A5" s="33" t="s">
        <v>4</v>
      </c>
      <c r="B5" s="50"/>
      <c r="C5" s="50"/>
      <c r="D5" s="50"/>
      <c r="E5" s="50"/>
      <c r="F5" s="50"/>
      <c r="G5" s="50"/>
      <c r="I5" s="62">
        <f>Début_Projet-WEEKDAY(Début_Projet,1)+2+7*(Semaine_Affichage-1)</f>
        <v>46027</v>
      </c>
      <c r="J5" s="63">
        <f>I5+1</f>
        <v>46028</v>
      </c>
      <c r="K5" s="63">
        <f t="shared" ref="K5:AX5" si="0">J5+1</f>
        <v>46029</v>
      </c>
      <c r="L5" s="63">
        <f t="shared" si="0"/>
        <v>46030</v>
      </c>
      <c r="M5" s="63">
        <f t="shared" si="0"/>
        <v>46031</v>
      </c>
      <c r="N5" s="63">
        <f t="shared" si="0"/>
        <v>46032</v>
      </c>
      <c r="O5" s="64">
        <f t="shared" si="0"/>
        <v>46033</v>
      </c>
      <c r="P5" s="62">
        <f>O5+1</f>
        <v>46034</v>
      </c>
      <c r="Q5" s="63">
        <f>P5+1</f>
        <v>46035</v>
      </c>
      <c r="R5" s="63">
        <f t="shared" si="0"/>
        <v>46036</v>
      </c>
      <c r="S5" s="63">
        <f t="shared" si="0"/>
        <v>46037</v>
      </c>
      <c r="T5" s="63">
        <f t="shared" si="0"/>
        <v>46038</v>
      </c>
      <c r="U5" s="63">
        <f t="shared" si="0"/>
        <v>46039</v>
      </c>
      <c r="V5" s="64">
        <f t="shared" si="0"/>
        <v>46040</v>
      </c>
      <c r="W5" s="62">
        <f>V5+1</f>
        <v>46041</v>
      </c>
      <c r="X5" s="63">
        <f>W5+1</f>
        <v>46042</v>
      </c>
      <c r="Y5" s="63">
        <f t="shared" si="0"/>
        <v>46043</v>
      </c>
      <c r="Z5" s="63">
        <f t="shared" si="0"/>
        <v>46044</v>
      </c>
      <c r="AA5" s="63">
        <f t="shared" si="0"/>
        <v>46045</v>
      </c>
      <c r="AB5" s="63">
        <f t="shared" si="0"/>
        <v>46046</v>
      </c>
      <c r="AC5" s="64">
        <f t="shared" si="0"/>
        <v>46047</v>
      </c>
      <c r="AD5" s="62">
        <f>AC5+1</f>
        <v>46048</v>
      </c>
      <c r="AE5" s="63">
        <f>AD5+1</f>
        <v>46049</v>
      </c>
      <c r="AF5" s="63">
        <f t="shared" si="0"/>
        <v>46050</v>
      </c>
      <c r="AG5" s="63">
        <f t="shared" si="0"/>
        <v>46051</v>
      </c>
      <c r="AH5" s="63">
        <f t="shared" si="0"/>
        <v>46052</v>
      </c>
      <c r="AI5" s="63">
        <f t="shared" si="0"/>
        <v>46053</v>
      </c>
      <c r="AJ5" s="64">
        <f t="shared" si="0"/>
        <v>46054</v>
      </c>
      <c r="AK5" s="62">
        <f>AJ5+1</f>
        <v>46055</v>
      </c>
      <c r="AL5" s="63">
        <f>AK5+1</f>
        <v>46056</v>
      </c>
      <c r="AM5" s="63">
        <f t="shared" si="0"/>
        <v>46057</v>
      </c>
      <c r="AN5" s="63">
        <f t="shared" si="0"/>
        <v>46058</v>
      </c>
      <c r="AO5" s="63">
        <f t="shared" si="0"/>
        <v>46059</v>
      </c>
      <c r="AP5" s="63">
        <f t="shared" si="0"/>
        <v>46060</v>
      </c>
      <c r="AQ5" s="64">
        <f t="shared" si="0"/>
        <v>46061</v>
      </c>
      <c r="AR5" s="62">
        <f>AQ5+1</f>
        <v>46062</v>
      </c>
      <c r="AS5" s="63">
        <f>AR5+1</f>
        <v>46063</v>
      </c>
      <c r="AT5" s="63">
        <f t="shared" si="0"/>
        <v>46064</v>
      </c>
      <c r="AU5" s="63">
        <f t="shared" si="0"/>
        <v>46065</v>
      </c>
      <c r="AV5" s="63">
        <f t="shared" si="0"/>
        <v>46066</v>
      </c>
      <c r="AW5" s="63">
        <f t="shared" si="0"/>
        <v>46067</v>
      </c>
      <c r="AX5" s="64">
        <f t="shared" si="0"/>
        <v>46068</v>
      </c>
      <c r="AY5" s="62">
        <f>AX5+1</f>
        <v>46069</v>
      </c>
      <c r="AZ5" s="63">
        <f>AY5+1</f>
        <v>46070</v>
      </c>
      <c r="BA5" s="63">
        <f t="shared" ref="BA5:BE5" si="1">AZ5+1</f>
        <v>46071</v>
      </c>
      <c r="BB5" s="63">
        <f t="shared" si="1"/>
        <v>46072</v>
      </c>
      <c r="BC5" s="63">
        <f t="shared" si="1"/>
        <v>46073</v>
      </c>
      <c r="BD5" s="63">
        <f t="shared" si="1"/>
        <v>46074</v>
      </c>
      <c r="BE5" s="64">
        <f t="shared" si="1"/>
        <v>46075</v>
      </c>
      <c r="BF5" s="62">
        <f>BE5+1</f>
        <v>46076</v>
      </c>
      <c r="BG5" s="63">
        <f>BF5+1</f>
        <v>46077</v>
      </c>
      <c r="BH5" s="63">
        <f t="shared" ref="BH5:BL5" si="2">BG5+1</f>
        <v>46078</v>
      </c>
      <c r="BI5" s="63">
        <f t="shared" si="2"/>
        <v>46079</v>
      </c>
      <c r="BJ5" s="63">
        <f t="shared" si="2"/>
        <v>46080</v>
      </c>
      <c r="BK5" s="63">
        <f t="shared" si="2"/>
        <v>46081</v>
      </c>
      <c r="BL5" s="64">
        <f t="shared" si="2"/>
        <v>46082</v>
      </c>
      <c r="BM5" s="62">
        <f>Début_Projet-WEEKDAY(Début_Projet,1)+2+7*(Semaine_Affichage-1)</f>
        <v>46027</v>
      </c>
      <c r="BN5" s="63">
        <f>BM5+1</f>
        <v>46028</v>
      </c>
      <c r="BO5" s="63">
        <f t="shared" ref="BO5" si="3">BN5+1</f>
        <v>46029</v>
      </c>
      <c r="BP5" s="63">
        <f t="shared" ref="BP5" si="4">BO5+1</f>
        <v>46030</v>
      </c>
      <c r="BQ5" s="63">
        <f t="shared" ref="BQ5" si="5">BP5+1</f>
        <v>46031</v>
      </c>
      <c r="BR5" s="63">
        <f t="shared" ref="BR5" si="6">BQ5+1</f>
        <v>46032</v>
      </c>
      <c r="BS5" s="64">
        <f t="shared" ref="BS5" si="7">BR5+1</f>
        <v>46033</v>
      </c>
      <c r="BT5" s="62">
        <f>BS5+1</f>
        <v>46034</v>
      </c>
      <c r="BU5" s="63">
        <f>BT5+1</f>
        <v>46035</v>
      </c>
      <c r="BV5" s="63">
        <f t="shared" ref="BV5" si="8">BU5+1</f>
        <v>46036</v>
      </c>
      <c r="BW5" s="63">
        <f t="shared" ref="BW5" si="9">BV5+1</f>
        <v>46037</v>
      </c>
      <c r="BX5" s="63">
        <f t="shared" ref="BX5" si="10">BW5+1</f>
        <v>46038</v>
      </c>
      <c r="BY5" s="63">
        <f t="shared" ref="BY5" si="11">BX5+1</f>
        <v>46039</v>
      </c>
      <c r="BZ5" s="64">
        <f t="shared" ref="BZ5" si="12">BY5+1</f>
        <v>46040</v>
      </c>
      <c r="CA5" s="62">
        <f>BZ5+1</f>
        <v>46041</v>
      </c>
      <c r="CB5" s="63">
        <f>CA5+1</f>
        <v>46042</v>
      </c>
      <c r="CC5" s="63">
        <f t="shared" ref="CC5" si="13">CB5+1</f>
        <v>46043</v>
      </c>
      <c r="CD5" s="63">
        <f t="shared" ref="CD5" si="14">CC5+1</f>
        <v>46044</v>
      </c>
      <c r="CE5" s="63">
        <f t="shared" ref="CE5" si="15">CD5+1</f>
        <v>46045</v>
      </c>
      <c r="CF5" s="63">
        <f t="shared" ref="CF5" si="16">CE5+1</f>
        <v>46046</v>
      </c>
      <c r="CG5" s="64">
        <f t="shared" ref="CG5" si="17">CF5+1</f>
        <v>46047</v>
      </c>
      <c r="CH5" s="62">
        <f>CG5+1</f>
        <v>46048</v>
      </c>
      <c r="CI5" s="63">
        <f>CH5+1</f>
        <v>46049</v>
      </c>
      <c r="CJ5" s="63">
        <f t="shared" ref="CJ5" si="18">CI5+1</f>
        <v>46050</v>
      </c>
      <c r="CK5" s="63">
        <f t="shared" ref="CK5" si="19">CJ5+1</f>
        <v>46051</v>
      </c>
      <c r="CL5" s="63">
        <f t="shared" ref="CL5" si="20">CK5+1</f>
        <v>46052</v>
      </c>
      <c r="CM5" s="63">
        <f t="shared" ref="CM5" si="21">CL5+1</f>
        <v>46053</v>
      </c>
      <c r="CN5" s="64">
        <f t="shared" ref="CN5" si="22">CM5+1</f>
        <v>46054</v>
      </c>
    </row>
    <row r="6" spans="1:92" ht="30" customHeight="1" thickBot="1" x14ac:dyDescent="0.35">
      <c r="A6" s="33" t="s">
        <v>5</v>
      </c>
      <c r="B6" s="8" t="s">
        <v>14</v>
      </c>
      <c r="C6" s="9" t="s">
        <v>18</v>
      </c>
      <c r="D6" s="9" t="s">
        <v>19</v>
      </c>
      <c r="E6" s="9" t="s">
        <v>20</v>
      </c>
      <c r="F6" s="9" t="s">
        <v>21</v>
      </c>
      <c r="G6" s="9"/>
      <c r="H6" s="9" t="s">
        <v>22</v>
      </c>
      <c r="I6" s="10" t="str">
        <f t="shared" ref="I6:AN6" si="23">LEFT(TEXT(I5,"jjj"),1)</f>
        <v>l</v>
      </c>
      <c r="J6" s="10" t="str">
        <f t="shared" si="23"/>
        <v>m</v>
      </c>
      <c r="K6" s="10" t="str">
        <f t="shared" si="23"/>
        <v>m</v>
      </c>
      <c r="L6" s="10" t="str">
        <f t="shared" si="23"/>
        <v>j</v>
      </c>
      <c r="M6" s="10" t="str">
        <f t="shared" si="23"/>
        <v>v</v>
      </c>
      <c r="N6" s="10" t="str">
        <f t="shared" si="23"/>
        <v>s</v>
      </c>
      <c r="O6" s="10" t="str">
        <f t="shared" si="23"/>
        <v>d</v>
      </c>
      <c r="P6" s="10" t="str">
        <f t="shared" si="23"/>
        <v>l</v>
      </c>
      <c r="Q6" s="10" t="str">
        <f t="shared" si="23"/>
        <v>m</v>
      </c>
      <c r="R6" s="10" t="str">
        <f t="shared" si="23"/>
        <v>m</v>
      </c>
      <c r="S6" s="10" t="str">
        <f t="shared" si="23"/>
        <v>j</v>
      </c>
      <c r="T6" s="10" t="str">
        <f t="shared" si="23"/>
        <v>v</v>
      </c>
      <c r="U6" s="10" t="str">
        <f t="shared" si="23"/>
        <v>s</v>
      </c>
      <c r="V6" s="10" t="str">
        <f t="shared" si="23"/>
        <v>d</v>
      </c>
      <c r="W6" s="10" t="str">
        <f t="shared" si="23"/>
        <v>l</v>
      </c>
      <c r="X6" s="10" t="str">
        <f t="shared" si="23"/>
        <v>m</v>
      </c>
      <c r="Y6" s="10" t="str">
        <f t="shared" si="23"/>
        <v>m</v>
      </c>
      <c r="Z6" s="10" t="str">
        <f t="shared" si="23"/>
        <v>j</v>
      </c>
      <c r="AA6" s="10" t="str">
        <f t="shared" si="23"/>
        <v>v</v>
      </c>
      <c r="AB6" s="10" t="str">
        <f t="shared" si="23"/>
        <v>s</v>
      </c>
      <c r="AC6" s="10" t="str">
        <f t="shared" si="23"/>
        <v>d</v>
      </c>
      <c r="AD6" s="10" t="str">
        <f t="shared" si="23"/>
        <v>l</v>
      </c>
      <c r="AE6" s="10" t="str">
        <f t="shared" si="23"/>
        <v>m</v>
      </c>
      <c r="AF6" s="10" t="str">
        <f t="shared" si="23"/>
        <v>m</v>
      </c>
      <c r="AG6" s="10" t="str">
        <f t="shared" si="23"/>
        <v>j</v>
      </c>
      <c r="AH6" s="10" t="str">
        <f t="shared" si="23"/>
        <v>v</v>
      </c>
      <c r="AI6" s="10" t="str">
        <f t="shared" si="23"/>
        <v>s</v>
      </c>
      <c r="AJ6" s="10" t="str">
        <f t="shared" si="23"/>
        <v>d</v>
      </c>
      <c r="AK6" s="10" t="str">
        <f t="shared" si="23"/>
        <v>l</v>
      </c>
      <c r="AL6" s="10" t="str">
        <f t="shared" si="23"/>
        <v>m</v>
      </c>
      <c r="AM6" s="10" t="str">
        <f t="shared" si="23"/>
        <v>m</v>
      </c>
      <c r="AN6" s="10" t="str">
        <f t="shared" si="23"/>
        <v>j</v>
      </c>
      <c r="AO6" s="10" t="str">
        <f t="shared" ref="AO6:CZ6" si="24">LEFT(TEXT(AO5,"jjj"),1)</f>
        <v>v</v>
      </c>
      <c r="AP6" s="10" t="str">
        <f t="shared" si="24"/>
        <v>s</v>
      </c>
      <c r="AQ6" s="10" t="str">
        <f t="shared" si="24"/>
        <v>d</v>
      </c>
      <c r="AR6" s="10" t="str">
        <f t="shared" si="24"/>
        <v>l</v>
      </c>
      <c r="AS6" s="10" t="str">
        <f t="shared" si="24"/>
        <v>m</v>
      </c>
      <c r="AT6" s="10" t="str">
        <f t="shared" si="24"/>
        <v>m</v>
      </c>
      <c r="AU6" s="10" t="str">
        <f t="shared" si="24"/>
        <v>j</v>
      </c>
      <c r="AV6" s="10" t="str">
        <f t="shared" si="24"/>
        <v>v</v>
      </c>
      <c r="AW6" s="10" t="str">
        <f t="shared" si="24"/>
        <v>s</v>
      </c>
      <c r="AX6" s="10" t="str">
        <f t="shared" si="24"/>
        <v>d</v>
      </c>
      <c r="AY6" s="10" t="str">
        <f t="shared" si="24"/>
        <v>l</v>
      </c>
      <c r="AZ6" s="10" t="str">
        <f t="shared" si="24"/>
        <v>m</v>
      </c>
      <c r="BA6" s="10" t="str">
        <f t="shared" si="24"/>
        <v>m</v>
      </c>
      <c r="BB6" s="10" t="str">
        <f t="shared" si="24"/>
        <v>j</v>
      </c>
      <c r="BC6" s="10" t="str">
        <f t="shared" si="24"/>
        <v>v</v>
      </c>
      <c r="BD6" s="10" t="str">
        <f t="shared" si="24"/>
        <v>s</v>
      </c>
      <c r="BE6" s="10" t="str">
        <f t="shared" si="24"/>
        <v>d</v>
      </c>
      <c r="BF6" s="10" t="str">
        <f t="shared" si="24"/>
        <v>l</v>
      </c>
      <c r="BG6" s="10" t="str">
        <f t="shared" si="24"/>
        <v>m</v>
      </c>
      <c r="BH6" s="10" t="str">
        <f t="shared" si="24"/>
        <v>m</v>
      </c>
      <c r="BI6" s="10" t="str">
        <f t="shared" si="24"/>
        <v>j</v>
      </c>
      <c r="BJ6" s="10" t="str">
        <f t="shared" si="24"/>
        <v>v</v>
      </c>
      <c r="BK6" s="10" t="str">
        <f t="shared" si="24"/>
        <v>s</v>
      </c>
      <c r="BL6" s="10" t="str">
        <f t="shared" si="24"/>
        <v>d</v>
      </c>
      <c r="BM6" s="10" t="str">
        <f t="shared" si="24"/>
        <v>l</v>
      </c>
      <c r="BN6" s="10" t="str">
        <f t="shared" si="24"/>
        <v>m</v>
      </c>
      <c r="BO6" s="10" t="str">
        <f t="shared" si="24"/>
        <v>m</v>
      </c>
      <c r="BP6" s="10" t="str">
        <f t="shared" si="24"/>
        <v>j</v>
      </c>
      <c r="BQ6" s="10" t="str">
        <f t="shared" si="24"/>
        <v>v</v>
      </c>
      <c r="BR6" s="10" t="str">
        <f t="shared" si="24"/>
        <v>s</v>
      </c>
      <c r="BS6" s="10" t="str">
        <f t="shared" si="24"/>
        <v>d</v>
      </c>
      <c r="BT6" s="10" t="str">
        <f t="shared" si="24"/>
        <v>l</v>
      </c>
      <c r="BU6" s="10" t="str">
        <f t="shared" si="24"/>
        <v>m</v>
      </c>
      <c r="BV6" s="10" t="str">
        <f t="shared" si="24"/>
        <v>m</v>
      </c>
      <c r="BW6" s="10" t="str">
        <f t="shared" si="24"/>
        <v>j</v>
      </c>
      <c r="BX6" s="10" t="str">
        <f t="shared" si="24"/>
        <v>v</v>
      </c>
      <c r="BY6" s="10" t="str">
        <f t="shared" si="24"/>
        <v>s</v>
      </c>
      <c r="BZ6" s="10" t="str">
        <f t="shared" si="24"/>
        <v>d</v>
      </c>
      <c r="CA6" s="10" t="str">
        <f t="shared" si="24"/>
        <v>l</v>
      </c>
      <c r="CB6" s="10" t="str">
        <f t="shared" si="24"/>
        <v>m</v>
      </c>
      <c r="CC6" s="10" t="str">
        <f t="shared" si="24"/>
        <v>m</v>
      </c>
      <c r="CD6" s="10" t="str">
        <f t="shared" si="24"/>
        <v>j</v>
      </c>
      <c r="CE6" s="10" t="str">
        <f t="shared" si="24"/>
        <v>v</v>
      </c>
      <c r="CF6" s="10" t="str">
        <f t="shared" si="24"/>
        <v>s</v>
      </c>
      <c r="CG6" s="10" t="str">
        <f t="shared" si="24"/>
        <v>d</v>
      </c>
      <c r="CH6" s="10" t="str">
        <f t="shared" si="24"/>
        <v>l</v>
      </c>
      <c r="CI6" s="10" t="str">
        <f t="shared" si="24"/>
        <v>m</v>
      </c>
      <c r="CJ6" s="10" t="str">
        <f t="shared" si="24"/>
        <v>m</v>
      </c>
      <c r="CK6" s="10" t="str">
        <f t="shared" si="24"/>
        <v>j</v>
      </c>
      <c r="CL6" s="10" t="str">
        <f t="shared" si="24"/>
        <v>v</v>
      </c>
      <c r="CM6" s="10" t="str">
        <f t="shared" si="24"/>
        <v>s</v>
      </c>
      <c r="CN6" s="10" t="str">
        <f t="shared" si="24"/>
        <v>d</v>
      </c>
    </row>
    <row r="7" spans="1:92" ht="15" hidden="1" customHeight="1" thickBot="1" x14ac:dyDescent="0.35">
      <c r="A7" s="32" t="s">
        <v>6</v>
      </c>
      <c r="C7" s="35"/>
      <c r="E7"/>
      <c r="H7" t="str">
        <f>IF(OR(ISBLANK(début_tâche),ISBLANK(fin_tâche)),"",fin_tâche-début_tâche+1)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row>
    <row r="8" spans="1:92" s="3" customFormat="1" ht="30" customHeight="1" thickBot="1" x14ac:dyDescent="0.35">
      <c r="A8" s="33" t="s">
        <v>7</v>
      </c>
      <c r="B8" s="15" t="s">
        <v>24</v>
      </c>
      <c r="C8" s="39"/>
      <c r="D8" s="16"/>
      <c r="E8" s="53"/>
      <c r="F8" s="54"/>
      <c r="G8" s="14"/>
      <c r="H8" s="14" t="str">
        <f t="shared" ref="H8:H19" si="25">IF(OR(ISBLANK(début_tâche),ISBLANK(fin_tâche)),"",fin_tâche-début_tâche+1)</f>
        <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75"/>
      <c r="BN8" s="75"/>
      <c r="BO8" s="75"/>
      <c r="BP8" s="75"/>
      <c r="BQ8" s="75"/>
      <c r="BR8" s="75"/>
      <c r="BS8" s="75"/>
      <c r="BT8" s="75"/>
      <c r="BU8" s="75"/>
      <c r="BV8" s="75"/>
      <c r="BW8" s="75"/>
      <c r="BX8" s="75"/>
      <c r="BY8" s="75"/>
      <c r="BZ8" s="75"/>
      <c r="CA8" s="75"/>
      <c r="CB8" s="75"/>
      <c r="CC8" s="75"/>
      <c r="CD8" s="75"/>
      <c r="CE8" s="75"/>
      <c r="CF8" s="75"/>
      <c r="CG8" s="75"/>
      <c r="CH8" s="75"/>
      <c r="CI8" s="75"/>
      <c r="CJ8" s="75"/>
      <c r="CK8" s="75"/>
      <c r="CL8" s="75"/>
      <c r="CM8" s="75"/>
      <c r="CN8" s="75"/>
    </row>
    <row r="9" spans="1:92" s="3" customFormat="1" ht="30" customHeight="1" thickBot="1" x14ac:dyDescent="0.35">
      <c r="A9" s="33" t="s">
        <v>8</v>
      </c>
      <c r="B9" s="46" t="s">
        <v>25</v>
      </c>
      <c r="C9" s="40"/>
      <c r="D9" s="17"/>
      <c r="E9" s="72">
        <v>46027</v>
      </c>
      <c r="F9" s="72">
        <v>46038</v>
      </c>
      <c r="G9" s="14"/>
      <c r="H9" s="14">
        <f>IF(OR(ISBLANK(E9),ISBLANK(F9)),"",F9-E9+1)</f>
        <v>12</v>
      </c>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77"/>
      <c r="BN9" s="77"/>
      <c r="BO9" s="77"/>
      <c r="BP9" s="77"/>
      <c r="BQ9" s="77"/>
      <c r="BR9" s="77"/>
      <c r="BS9" s="77"/>
      <c r="BT9" s="77"/>
      <c r="BU9" s="77"/>
      <c r="BV9" s="77"/>
      <c r="BW9" s="77"/>
      <c r="BX9" s="77"/>
      <c r="BY9" s="75"/>
      <c r="BZ9" s="75"/>
      <c r="CA9" s="75"/>
      <c r="CB9" s="75"/>
      <c r="CC9" s="75"/>
      <c r="CD9" s="75"/>
      <c r="CE9" s="75"/>
      <c r="CF9" s="75"/>
      <c r="CG9" s="75"/>
      <c r="CH9" s="75"/>
      <c r="CI9" s="75"/>
      <c r="CJ9" s="75"/>
      <c r="CK9" s="75"/>
      <c r="CL9" s="75"/>
      <c r="CM9" s="75"/>
      <c r="CN9" s="75"/>
    </row>
    <row r="10" spans="1:92" s="3" customFormat="1" ht="30" customHeight="1" thickBot="1" x14ac:dyDescent="0.35">
      <c r="A10" s="33" t="s">
        <v>9</v>
      </c>
      <c r="B10" s="46" t="s">
        <v>26</v>
      </c>
      <c r="C10" s="40"/>
      <c r="D10" s="17"/>
      <c r="E10" s="72">
        <v>46041</v>
      </c>
      <c r="F10" s="72">
        <v>46052</v>
      </c>
      <c r="G10" s="14"/>
      <c r="H10" s="14">
        <f>IF(OR(ISBLANK(E10),ISBLANK(F10)),"",F10-E10+1)</f>
        <v>12</v>
      </c>
      <c r="I10" s="28"/>
      <c r="J10" s="28"/>
      <c r="K10" s="28"/>
      <c r="L10" s="28"/>
      <c r="M10" s="28"/>
      <c r="N10" s="28"/>
      <c r="O10" s="28"/>
      <c r="P10" s="28"/>
      <c r="Q10" s="28"/>
      <c r="R10" s="28"/>
      <c r="S10" s="28"/>
      <c r="T10" s="28"/>
      <c r="U10" s="29"/>
      <c r="V10" s="29"/>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75"/>
      <c r="BN10" s="75"/>
      <c r="BO10" s="75"/>
      <c r="BP10" s="75"/>
      <c r="BQ10" s="75"/>
      <c r="BR10" s="75"/>
      <c r="BS10" s="75"/>
      <c r="BT10" s="75"/>
      <c r="BU10" s="75"/>
      <c r="BV10" s="75"/>
      <c r="BW10" s="75"/>
      <c r="BX10" s="75"/>
      <c r="BY10" s="76"/>
      <c r="BZ10" s="76"/>
      <c r="CA10" s="77"/>
      <c r="CB10" s="77"/>
      <c r="CC10" s="77"/>
      <c r="CD10" s="77"/>
      <c r="CE10" s="77"/>
      <c r="CF10" s="77"/>
      <c r="CG10" s="77"/>
      <c r="CH10" s="77"/>
      <c r="CI10" s="77"/>
      <c r="CJ10" s="77"/>
      <c r="CK10" s="77"/>
      <c r="CL10" s="77"/>
      <c r="CM10" s="75"/>
      <c r="CN10" s="75"/>
    </row>
    <row r="11" spans="1:92" s="3" customFormat="1" ht="30" customHeight="1" thickBot="1" x14ac:dyDescent="0.35">
      <c r="A11" s="32"/>
      <c r="B11" s="46" t="s">
        <v>27</v>
      </c>
      <c r="C11" s="40"/>
      <c r="D11" s="17"/>
      <c r="E11" s="72">
        <v>46055</v>
      </c>
      <c r="F11" s="72">
        <v>46066</v>
      </c>
      <c r="G11" s="14"/>
      <c r="H11" s="14">
        <f>IF(OR(ISBLANK(E11),ISBLANK(F11)),"",F11-E11+1)</f>
        <v>12</v>
      </c>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75"/>
      <c r="BN11" s="75"/>
      <c r="BO11" s="75"/>
      <c r="BP11" s="75"/>
      <c r="BQ11" s="75"/>
      <c r="BR11" s="75"/>
      <c r="BS11" s="75"/>
      <c r="BT11" s="75"/>
      <c r="BU11" s="75"/>
      <c r="BV11" s="75"/>
      <c r="BW11" s="75"/>
      <c r="BX11" s="75"/>
      <c r="BY11" s="75"/>
      <c r="BZ11" s="75"/>
      <c r="CA11" s="75"/>
      <c r="CB11" s="75"/>
      <c r="CC11" s="75"/>
      <c r="CD11" s="75"/>
      <c r="CE11" s="75"/>
      <c r="CF11" s="75"/>
      <c r="CG11" s="75"/>
      <c r="CH11" s="75"/>
      <c r="CI11" s="75"/>
      <c r="CJ11" s="75"/>
      <c r="CK11" s="75"/>
      <c r="CL11" s="75"/>
      <c r="CM11" s="75"/>
      <c r="CN11" s="75"/>
    </row>
    <row r="12" spans="1:92" s="3" customFormat="1" ht="30" customHeight="1" thickBot="1" x14ac:dyDescent="0.35">
      <c r="A12" s="33" t="s">
        <v>10</v>
      </c>
      <c r="B12" s="18" t="s">
        <v>28</v>
      </c>
      <c r="C12" s="41"/>
      <c r="D12" s="19"/>
      <c r="E12" s="55"/>
      <c r="F12" s="56"/>
      <c r="G12" s="14"/>
      <c r="H12" s="14" t="str">
        <f t="shared" si="25"/>
        <v/>
      </c>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75"/>
      <c r="BN12" s="75"/>
      <c r="BO12" s="75"/>
      <c r="BP12" s="75"/>
      <c r="BQ12" s="75"/>
      <c r="BR12" s="75"/>
      <c r="BS12" s="75"/>
      <c r="BT12" s="75"/>
      <c r="BU12" s="75"/>
      <c r="BV12" s="75"/>
      <c r="BW12" s="75"/>
      <c r="BX12" s="75"/>
      <c r="BY12" s="75"/>
      <c r="BZ12" s="75"/>
      <c r="CA12" s="75"/>
      <c r="CB12" s="75"/>
      <c r="CC12" s="75"/>
      <c r="CD12" s="75"/>
      <c r="CE12" s="75"/>
      <c r="CF12" s="75"/>
      <c r="CG12" s="75"/>
      <c r="CH12" s="75"/>
      <c r="CI12" s="75"/>
      <c r="CJ12" s="75"/>
      <c r="CK12" s="75"/>
      <c r="CL12" s="75"/>
      <c r="CM12" s="75"/>
      <c r="CN12" s="75"/>
    </row>
    <row r="13" spans="1:92" s="3" customFormat="1" ht="30" customHeight="1" thickBot="1" x14ac:dyDescent="0.35">
      <c r="A13" s="33"/>
      <c r="B13" s="47" t="s">
        <v>29</v>
      </c>
      <c r="C13" s="42"/>
      <c r="D13" s="20"/>
      <c r="E13" s="73">
        <v>46069</v>
      </c>
      <c r="F13" s="73">
        <v>46087</v>
      </c>
      <c r="G13" s="14"/>
      <c r="H13" s="14">
        <f>IF(OR(ISBLANK(E13),ISBLANK(F13)),"",F13-E13+1)</f>
        <v>19</v>
      </c>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75"/>
      <c r="BN13" s="75"/>
      <c r="BO13" s="75"/>
      <c r="BP13" s="75"/>
      <c r="BQ13" s="75"/>
      <c r="BR13" s="75"/>
      <c r="BS13" s="75"/>
      <c r="BT13" s="75"/>
      <c r="BU13" s="75"/>
      <c r="BV13" s="75"/>
      <c r="BW13" s="75"/>
      <c r="BX13" s="75"/>
      <c r="BY13" s="75"/>
      <c r="BZ13" s="75"/>
      <c r="CA13" s="75"/>
      <c r="CB13" s="75"/>
      <c r="CC13" s="75"/>
      <c r="CD13" s="75"/>
      <c r="CE13" s="75"/>
      <c r="CF13" s="75"/>
      <c r="CG13" s="75"/>
      <c r="CH13" s="75"/>
      <c r="CI13" s="75"/>
      <c r="CJ13" s="75"/>
      <c r="CK13" s="75"/>
      <c r="CL13" s="75"/>
      <c r="CM13" s="75"/>
      <c r="CN13" s="75"/>
    </row>
    <row r="14" spans="1:92" s="3" customFormat="1" ht="30" customHeight="1" thickBot="1" x14ac:dyDescent="0.35">
      <c r="A14" s="32"/>
      <c r="B14" s="47" t="s">
        <v>30</v>
      </c>
      <c r="C14" s="42"/>
      <c r="D14" s="20"/>
      <c r="E14" s="73">
        <v>46090</v>
      </c>
      <c r="F14" s="73">
        <v>46101</v>
      </c>
      <c r="G14" s="14"/>
      <c r="H14" s="14">
        <f>IF(OR(ISBLANK(E14),ISBLANK(F14)),"",F14-E14+1)</f>
        <v>12</v>
      </c>
      <c r="I14" s="28"/>
      <c r="J14" s="28"/>
      <c r="K14" s="28"/>
      <c r="L14" s="28"/>
      <c r="M14" s="28"/>
      <c r="N14" s="28"/>
      <c r="O14" s="28"/>
      <c r="P14" s="28"/>
      <c r="Q14" s="28"/>
      <c r="R14" s="28"/>
      <c r="S14" s="28"/>
      <c r="T14" s="28"/>
      <c r="U14" s="29"/>
      <c r="V14" s="29"/>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75"/>
      <c r="BN14" s="75"/>
      <c r="BO14" s="75"/>
      <c r="BP14" s="75"/>
      <c r="BQ14" s="75"/>
      <c r="BR14" s="75"/>
      <c r="BS14" s="75"/>
      <c r="BT14" s="75"/>
      <c r="BU14" s="75"/>
      <c r="BV14" s="75"/>
      <c r="BW14" s="75"/>
      <c r="BX14" s="75"/>
      <c r="BY14" s="76"/>
      <c r="BZ14" s="76"/>
      <c r="CA14" s="75"/>
      <c r="CB14" s="75"/>
      <c r="CC14" s="75"/>
      <c r="CD14" s="75"/>
      <c r="CE14" s="75"/>
      <c r="CF14" s="75"/>
      <c r="CG14" s="75"/>
      <c r="CH14" s="75"/>
      <c r="CI14" s="75"/>
      <c r="CJ14" s="75"/>
      <c r="CK14" s="75"/>
      <c r="CL14" s="75"/>
      <c r="CM14" s="75"/>
      <c r="CN14" s="75"/>
    </row>
    <row r="15" spans="1:92" s="3" customFormat="1" ht="30" customHeight="1" thickBot="1" x14ac:dyDescent="0.35">
      <c r="A15" s="32" t="s">
        <v>11</v>
      </c>
      <c r="B15" s="21" t="s">
        <v>31</v>
      </c>
      <c r="C15" s="43"/>
      <c r="D15" s="22"/>
      <c r="E15" s="57"/>
      <c r="F15" s="58"/>
      <c r="G15" s="14"/>
      <c r="H15" s="14" t="str">
        <f t="shared" si="25"/>
        <v/>
      </c>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75"/>
      <c r="BN15" s="75"/>
      <c r="BO15" s="75"/>
      <c r="BP15" s="75"/>
      <c r="BQ15" s="75"/>
      <c r="BR15" s="75"/>
      <c r="BS15" s="75"/>
      <c r="BT15" s="75"/>
      <c r="BU15" s="75"/>
      <c r="BV15" s="75"/>
      <c r="BW15" s="75"/>
      <c r="BX15" s="75"/>
      <c r="BY15" s="75"/>
      <c r="BZ15" s="75"/>
      <c r="CA15" s="75"/>
      <c r="CB15" s="75"/>
      <c r="CC15" s="75"/>
      <c r="CD15" s="75"/>
      <c r="CE15" s="75"/>
      <c r="CF15" s="75"/>
      <c r="CG15" s="75"/>
      <c r="CH15" s="75"/>
      <c r="CI15" s="75"/>
      <c r="CJ15" s="75"/>
      <c r="CK15" s="75"/>
      <c r="CL15" s="75"/>
      <c r="CM15" s="75"/>
      <c r="CN15" s="75"/>
    </row>
    <row r="16" spans="1:92" s="3" customFormat="1" ht="30" customHeight="1" thickBot="1" x14ac:dyDescent="0.35">
      <c r="A16" s="32"/>
      <c r="B16" s="48" t="s">
        <v>32</v>
      </c>
      <c r="C16" s="44"/>
      <c r="D16" s="23"/>
      <c r="E16" s="74">
        <v>46104</v>
      </c>
      <c r="F16" s="74">
        <v>46122</v>
      </c>
      <c r="G16" s="14"/>
      <c r="H16" s="14">
        <f>IF(OR(ISBLANK(E16),ISBLANK(F16)),"",F16-E16+1)</f>
        <v>19</v>
      </c>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75"/>
      <c r="BN16" s="75"/>
      <c r="BO16" s="75"/>
      <c r="BP16" s="75"/>
      <c r="BQ16" s="75"/>
      <c r="BR16" s="75"/>
      <c r="BS16" s="75"/>
      <c r="BT16" s="75"/>
      <c r="BU16" s="75"/>
      <c r="BV16" s="75"/>
      <c r="BW16" s="75"/>
      <c r="BX16" s="75"/>
      <c r="BY16" s="75"/>
      <c r="BZ16" s="75"/>
      <c r="CA16" s="75"/>
      <c r="CB16" s="75"/>
      <c r="CC16" s="75"/>
      <c r="CD16" s="75"/>
      <c r="CE16" s="75"/>
      <c r="CF16" s="75"/>
      <c r="CG16" s="75"/>
      <c r="CH16" s="75"/>
      <c r="CI16" s="75"/>
      <c r="CJ16" s="75"/>
      <c r="CK16" s="75"/>
      <c r="CL16" s="75"/>
      <c r="CM16" s="75"/>
      <c r="CN16" s="75"/>
    </row>
    <row r="17" spans="1:92" s="3" customFormat="1" ht="30" customHeight="1" thickBot="1" x14ac:dyDescent="0.35">
      <c r="A17" s="32"/>
      <c r="B17" s="48" t="s">
        <v>33</v>
      </c>
      <c r="C17" s="44"/>
      <c r="D17" s="23"/>
      <c r="E17" s="74">
        <v>46125</v>
      </c>
      <c r="F17" s="74">
        <v>46136</v>
      </c>
      <c r="G17" s="14"/>
      <c r="H17" s="14">
        <f>IF(OR(ISBLANK(E17),ISBLANK(F17)),"",F17-E17+1)</f>
        <v>12</v>
      </c>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75"/>
      <c r="BN17" s="75"/>
      <c r="BO17" s="75"/>
      <c r="BP17" s="75"/>
      <c r="BQ17" s="75"/>
      <c r="BR17" s="75"/>
      <c r="BS17" s="75"/>
      <c r="BT17" s="75"/>
      <c r="BU17" s="75"/>
      <c r="BV17" s="75"/>
      <c r="BW17" s="75"/>
      <c r="BX17" s="75"/>
      <c r="BY17" s="75"/>
      <c r="BZ17" s="75"/>
      <c r="CA17" s="75"/>
      <c r="CB17" s="75"/>
      <c r="CC17" s="75"/>
      <c r="CD17" s="75"/>
      <c r="CE17" s="75"/>
      <c r="CF17" s="75"/>
      <c r="CG17" s="75"/>
      <c r="CH17" s="75"/>
      <c r="CI17" s="75"/>
      <c r="CJ17" s="75"/>
      <c r="CK17" s="75"/>
      <c r="CL17" s="75"/>
      <c r="CM17" s="75"/>
      <c r="CN17" s="75"/>
    </row>
    <row r="18" spans="1:92" s="3" customFormat="1" ht="30" customHeight="1" thickBot="1" x14ac:dyDescent="0.35">
      <c r="A18" s="32" t="s">
        <v>12</v>
      </c>
      <c r="B18" s="49"/>
      <c r="C18" s="45"/>
      <c r="D18" s="13"/>
      <c r="E18" s="59"/>
      <c r="F18" s="59"/>
      <c r="G18" s="14"/>
      <c r="H18" s="14" t="str">
        <f t="shared" si="25"/>
        <v/>
      </c>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75"/>
      <c r="BN18" s="75"/>
      <c r="BO18" s="75"/>
      <c r="BP18" s="75"/>
      <c r="BQ18" s="75"/>
      <c r="BR18" s="75"/>
      <c r="BS18" s="75"/>
      <c r="BT18" s="75"/>
      <c r="BU18" s="75"/>
      <c r="BV18" s="75"/>
      <c r="BW18" s="75"/>
      <c r="BX18" s="75"/>
      <c r="BY18" s="75"/>
      <c r="BZ18" s="75"/>
      <c r="CA18" s="75"/>
      <c r="CB18" s="75"/>
      <c r="CC18" s="75"/>
      <c r="CD18" s="75"/>
      <c r="CE18" s="75"/>
      <c r="CF18" s="75"/>
      <c r="CG18" s="75"/>
      <c r="CH18" s="75"/>
      <c r="CI18" s="75"/>
      <c r="CJ18" s="75"/>
      <c r="CK18" s="75"/>
      <c r="CL18" s="75"/>
      <c r="CM18" s="75"/>
      <c r="CN18" s="75"/>
    </row>
    <row r="19" spans="1:92" s="3" customFormat="1" ht="30" customHeight="1" thickBot="1" x14ac:dyDescent="0.35">
      <c r="A19" s="33" t="s">
        <v>13</v>
      </c>
      <c r="B19" s="24" t="s">
        <v>15</v>
      </c>
      <c r="C19" s="25"/>
      <c r="D19" s="26"/>
      <c r="E19" s="60"/>
      <c r="F19" s="61"/>
      <c r="G19" s="27"/>
      <c r="H19" s="27" t="str">
        <f t="shared" si="25"/>
        <v/>
      </c>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75"/>
      <c r="BN19" s="75"/>
      <c r="BO19" s="75"/>
      <c r="BP19" s="75"/>
      <c r="BQ19" s="75"/>
      <c r="BR19" s="75"/>
      <c r="BS19" s="75"/>
      <c r="BT19" s="75"/>
      <c r="BU19" s="75"/>
      <c r="BV19" s="75"/>
      <c r="BW19" s="75"/>
      <c r="BX19" s="75"/>
      <c r="BY19" s="75"/>
      <c r="BZ19" s="75"/>
      <c r="CA19" s="75"/>
      <c r="CB19" s="75"/>
      <c r="CC19" s="75"/>
      <c r="CD19" s="75"/>
      <c r="CE19" s="75"/>
      <c r="CF19" s="75"/>
      <c r="CG19" s="75"/>
      <c r="CH19" s="75"/>
      <c r="CI19" s="75"/>
      <c r="CJ19" s="75"/>
      <c r="CK19" s="75"/>
      <c r="CL19" s="75"/>
      <c r="CM19" s="75"/>
      <c r="CN19" s="75"/>
    </row>
    <row r="20" spans="1:92" ht="30" customHeight="1" x14ac:dyDescent="0.3">
      <c r="G20" s="6"/>
    </row>
    <row r="21" spans="1:92" ht="30" customHeight="1" x14ac:dyDescent="0.3">
      <c r="C21" s="11"/>
      <c r="F21" s="34"/>
    </row>
    <row r="22" spans="1:92" ht="30" customHeight="1" x14ac:dyDescent="0.3">
      <c r="C22" s="12"/>
    </row>
  </sheetData>
  <mergeCells count="6">
    <mergeCell ref="I4:AJ4"/>
    <mergeCell ref="AK4:BL4"/>
    <mergeCell ref="BM4:CN4"/>
    <mergeCell ref="C3:D3"/>
    <mergeCell ref="C4:D4"/>
    <mergeCell ref="E3:F3"/>
  </mergeCells>
  <conditionalFormatting sqref="D7:D19">
    <cfRule type="dataBar" priority="17">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19">
    <cfRule type="expression" dxfId="164" priority="36">
      <formula>AND(TODAY()&gt;=I$5,TODAY()&lt;J$5)</formula>
    </cfRule>
  </conditionalFormatting>
  <conditionalFormatting sqref="I7:BL19">
    <cfRule type="expression" dxfId="163" priority="30">
      <formula>AND(début_tâche&lt;=I$5,ROUNDDOWN((fin_tâche-début_tâche+1)*avancement_tâche,0)+début_tâche-1&gt;=I$5)</formula>
    </cfRule>
    <cfRule type="expression" dxfId="162" priority="31" stopIfTrue="1">
      <formula>AND(fin_tâche&gt;=I$5,début_tâche&lt;J$5)</formula>
    </cfRule>
  </conditionalFormatting>
  <conditionalFormatting sqref="BM5:CN19">
    <cfRule type="expression" dxfId="5" priority="3">
      <formula>AND(TODAY()&gt;=BM$5,TODAY()&lt;BN$5)</formula>
    </cfRule>
  </conditionalFormatting>
  <conditionalFormatting sqref="BM7:CN19">
    <cfRule type="expression" dxfId="4" priority="1">
      <formula>AND(début_tâche&lt;=BM$5,ROUNDDOWN((fin_tâche-début_tâche+1)*avancement_tâche,0)+début_tâche-1&gt;=BM$5)</formula>
    </cfRule>
    <cfRule type="expression" dxfId="3" priority="2" stopIfTrue="1">
      <formula>AND(fin_tâche&gt;=BM$5,début_tâche&lt;BN$5)</formula>
    </cfRule>
  </conditionalFormatting>
  <dataValidations count="1">
    <dataValidation type="whole" operator="greaterThanOrEqual" allowBlank="1" showInputMessage="1" promptTitle="Semaine d’affichage" prompt="La modification de ce nombre entraînera la défilement du diagramme de Gantt." sqref="E4" xr:uid="{00000000-0002-0000-0000-000000000000}">
      <formula1>1</formula1>
    </dataValidation>
  </dataValidations>
  <hyperlinks>
    <hyperlink ref="I1" r:id="rId1" display="DIAGRAMME DE GANTT SIMPLE par Vertex42.com" xr:uid="{00000000-0004-0000-0000-000001000000}"/>
  </hyperlinks>
  <printOptions horizontalCentered="1"/>
  <pageMargins left="0.35" right="0.35" top="0.35" bottom="0.5" header="0.3" footer="0.3"/>
  <pageSetup paperSize="9" scale="27" fitToHeight="0" orientation="landscape" r:id="rId2"/>
  <headerFooter differentFirst="1" scaleWithDoc="0">
    <oddFooter>Page &amp;P of &amp;N</oddFooter>
  </headerFooter>
  <rowBreaks count="1" manualBreakCount="1">
    <brk id="18" max="16383" man="1"/>
  </rowBreaks>
  <colBreaks count="1" manualBreakCount="1">
    <brk id="2" max="1048575" man="1"/>
  </colBreak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AEE40-EFF2-40C7-B295-69184907D648}">
  <dimension ref="A1:BK19"/>
  <sheetViews>
    <sheetView tabSelected="1" topLeftCell="S1" zoomScale="58" zoomScaleNormal="58" workbookViewId="0">
      <selection activeCell="AJ4" sqref="AJ4:BK6"/>
    </sheetView>
  </sheetViews>
  <sheetFormatPr baseColWidth="10" defaultRowHeight="14.4" x14ac:dyDescent="0.3"/>
  <cols>
    <col min="1" max="1" width="78.21875" bestFit="1" customWidth="1"/>
  </cols>
  <sheetData>
    <row r="1" spans="1:63" ht="28.8" x14ac:dyDescent="0.55000000000000004">
      <c r="A1" s="36" t="s">
        <v>35</v>
      </c>
      <c r="B1" s="1"/>
      <c r="C1" s="2"/>
      <c r="D1" s="4"/>
      <c r="E1" s="31"/>
      <c r="G1" s="2"/>
      <c r="H1" s="51" t="s">
        <v>23</v>
      </c>
    </row>
    <row r="2" spans="1:63" ht="18" x14ac:dyDescent="0.35">
      <c r="A2" s="37"/>
      <c r="D2" s="5"/>
      <c r="H2" s="52"/>
    </row>
    <row r="3" spans="1:63" ht="18" x14ac:dyDescent="0.3">
      <c r="A3" s="38" t="s">
        <v>34</v>
      </c>
      <c r="B3" s="69" t="s">
        <v>16</v>
      </c>
      <c r="C3" s="70"/>
      <c r="D3" s="71">
        <v>46027</v>
      </c>
      <c r="E3" s="68"/>
    </row>
    <row r="4" spans="1:63" x14ac:dyDescent="0.3">
      <c r="B4" s="69" t="s">
        <v>17</v>
      </c>
      <c r="C4" s="70"/>
      <c r="D4" s="7">
        <v>1</v>
      </c>
      <c r="H4" s="65" t="s">
        <v>36</v>
      </c>
      <c r="I4" s="66"/>
      <c r="J4" s="66"/>
      <c r="K4" s="66"/>
      <c r="L4" s="66"/>
      <c r="M4" s="66"/>
      <c r="N4" s="66"/>
      <c r="O4" s="66"/>
      <c r="P4" s="66"/>
      <c r="Q4" s="66"/>
      <c r="R4" s="66"/>
      <c r="S4" s="66"/>
      <c r="T4" s="66"/>
      <c r="U4" s="66"/>
      <c r="V4" s="66"/>
      <c r="W4" s="66"/>
      <c r="X4" s="66"/>
      <c r="Y4" s="66"/>
      <c r="Z4" s="66"/>
      <c r="AA4" s="66"/>
      <c r="AB4" s="66"/>
      <c r="AC4" s="66"/>
      <c r="AD4" s="66"/>
      <c r="AE4" s="66"/>
      <c r="AF4" s="66"/>
      <c r="AG4" s="66"/>
      <c r="AH4" s="66"/>
      <c r="AI4" s="67"/>
      <c r="AJ4" s="65" t="s">
        <v>37</v>
      </c>
      <c r="AK4" s="66"/>
      <c r="AL4" s="66"/>
      <c r="AM4" s="66"/>
      <c r="AN4" s="66"/>
      <c r="AO4" s="66"/>
      <c r="AP4" s="66"/>
      <c r="AQ4" s="66"/>
      <c r="AR4" s="66"/>
      <c r="AS4" s="66"/>
      <c r="AT4" s="66"/>
      <c r="AU4" s="66"/>
      <c r="AV4" s="66"/>
      <c r="AW4" s="66"/>
      <c r="AX4" s="66"/>
      <c r="AY4" s="66"/>
      <c r="AZ4" s="66"/>
      <c r="BA4" s="66"/>
      <c r="BB4" s="66"/>
      <c r="BC4" s="66"/>
      <c r="BD4" s="66"/>
      <c r="BE4" s="66"/>
      <c r="BF4" s="66"/>
      <c r="BG4" s="66"/>
      <c r="BH4" s="66"/>
      <c r="BI4" s="66"/>
      <c r="BJ4" s="66"/>
      <c r="BK4" s="67"/>
    </row>
    <row r="5" spans="1:63" x14ac:dyDescent="0.3">
      <c r="A5" s="50"/>
      <c r="B5" s="50"/>
      <c r="C5" s="50"/>
      <c r="D5" s="50"/>
      <c r="E5" s="50"/>
      <c r="F5" s="50"/>
      <c r="H5" s="62">
        <f>Début_Projet-WEEKDAY(Début_Projet,1)+2+7*(Semaine_Affichage-1)</f>
        <v>46027</v>
      </c>
      <c r="I5" s="63">
        <f>H5+1</f>
        <v>46028</v>
      </c>
      <c r="J5" s="63">
        <f t="shared" ref="J5:AW5" si="0">I5+1</f>
        <v>46029</v>
      </c>
      <c r="K5" s="63">
        <f t="shared" si="0"/>
        <v>46030</v>
      </c>
      <c r="L5" s="63">
        <f t="shared" si="0"/>
        <v>46031</v>
      </c>
      <c r="M5" s="63">
        <f t="shared" si="0"/>
        <v>46032</v>
      </c>
      <c r="N5" s="64">
        <f t="shared" si="0"/>
        <v>46033</v>
      </c>
      <c r="O5" s="62">
        <f>N5+1</f>
        <v>46034</v>
      </c>
      <c r="P5" s="63">
        <f>O5+1</f>
        <v>46035</v>
      </c>
      <c r="Q5" s="63">
        <f t="shared" si="0"/>
        <v>46036</v>
      </c>
      <c r="R5" s="63">
        <f t="shared" si="0"/>
        <v>46037</v>
      </c>
      <c r="S5" s="63">
        <f t="shared" si="0"/>
        <v>46038</v>
      </c>
      <c r="T5" s="63">
        <f t="shared" si="0"/>
        <v>46039</v>
      </c>
      <c r="U5" s="64">
        <f t="shared" si="0"/>
        <v>46040</v>
      </c>
      <c r="V5" s="62">
        <f>U5+1</f>
        <v>46041</v>
      </c>
      <c r="W5" s="63">
        <f>V5+1</f>
        <v>46042</v>
      </c>
      <c r="X5" s="63">
        <f t="shared" si="0"/>
        <v>46043</v>
      </c>
      <c r="Y5" s="63">
        <f t="shared" si="0"/>
        <v>46044</v>
      </c>
      <c r="Z5" s="63">
        <f t="shared" si="0"/>
        <v>46045</v>
      </c>
      <c r="AA5" s="63">
        <f t="shared" si="0"/>
        <v>46046</v>
      </c>
      <c r="AB5" s="64">
        <f t="shared" si="0"/>
        <v>46047</v>
      </c>
      <c r="AC5" s="62">
        <f>AB5+1</f>
        <v>46048</v>
      </c>
      <c r="AD5" s="63">
        <f>AC5+1</f>
        <v>46049</v>
      </c>
      <c r="AE5" s="63">
        <f t="shared" si="0"/>
        <v>46050</v>
      </c>
      <c r="AF5" s="63">
        <f t="shared" si="0"/>
        <v>46051</v>
      </c>
      <c r="AG5" s="63">
        <f t="shared" si="0"/>
        <v>46052</v>
      </c>
      <c r="AH5" s="63">
        <f t="shared" si="0"/>
        <v>46053</v>
      </c>
      <c r="AI5" s="64">
        <f t="shared" si="0"/>
        <v>46054</v>
      </c>
      <c r="AJ5" s="62">
        <f>AI5+1</f>
        <v>46055</v>
      </c>
      <c r="AK5" s="63">
        <f>AJ5+1</f>
        <v>46056</v>
      </c>
      <c r="AL5" s="63">
        <f t="shared" si="0"/>
        <v>46057</v>
      </c>
      <c r="AM5" s="63">
        <f t="shared" si="0"/>
        <v>46058</v>
      </c>
      <c r="AN5" s="63">
        <f t="shared" si="0"/>
        <v>46059</v>
      </c>
      <c r="AO5" s="63">
        <f t="shared" si="0"/>
        <v>46060</v>
      </c>
      <c r="AP5" s="64">
        <f t="shared" si="0"/>
        <v>46061</v>
      </c>
      <c r="AQ5" s="62">
        <f>AP5+1</f>
        <v>46062</v>
      </c>
      <c r="AR5" s="63">
        <f>AQ5+1</f>
        <v>46063</v>
      </c>
      <c r="AS5" s="63">
        <f t="shared" si="0"/>
        <v>46064</v>
      </c>
      <c r="AT5" s="63">
        <f t="shared" si="0"/>
        <v>46065</v>
      </c>
      <c r="AU5" s="63">
        <f t="shared" si="0"/>
        <v>46066</v>
      </c>
      <c r="AV5" s="63">
        <f t="shared" si="0"/>
        <v>46067</v>
      </c>
      <c r="AW5" s="64">
        <f t="shared" si="0"/>
        <v>46068</v>
      </c>
      <c r="AX5" s="62">
        <f>AW5+1</f>
        <v>46069</v>
      </c>
      <c r="AY5" s="63">
        <f>AX5+1</f>
        <v>46070</v>
      </c>
      <c r="AZ5" s="63">
        <f t="shared" ref="AZ5:BD5" si="1">AY5+1</f>
        <v>46071</v>
      </c>
      <c r="BA5" s="63">
        <f t="shared" si="1"/>
        <v>46072</v>
      </c>
      <c r="BB5" s="63">
        <f t="shared" si="1"/>
        <v>46073</v>
      </c>
      <c r="BC5" s="63">
        <f t="shared" si="1"/>
        <v>46074</v>
      </c>
      <c r="BD5" s="64">
        <f t="shared" si="1"/>
        <v>46075</v>
      </c>
      <c r="BE5" s="62">
        <f>BD5+1</f>
        <v>46076</v>
      </c>
      <c r="BF5" s="63">
        <f>BE5+1</f>
        <v>46077</v>
      </c>
      <c r="BG5" s="63">
        <f t="shared" ref="BG5:BK5" si="2">BF5+1</f>
        <v>46078</v>
      </c>
      <c r="BH5" s="63">
        <f t="shared" si="2"/>
        <v>46079</v>
      </c>
      <c r="BI5" s="63">
        <f t="shared" si="2"/>
        <v>46080</v>
      </c>
      <c r="BJ5" s="63">
        <f t="shared" si="2"/>
        <v>46081</v>
      </c>
      <c r="BK5" s="64">
        <f t="shared" si="2"/>
        <v>46082</v>
      </c>
    </row>
    <row r="6" spans="1:63" ht="24.6" thickBot="1" x14ac:dyDescent="0.35">
      <c r="A6" s="8" t="s">
        <v>14</v>
      </c>
      <c r="B6" s="9" t="s">
        <v>18</v>
      </c>
      <c r="C6" s="9" t="s">
        <v>19</v>
      </c>
      <c r="D6" s="9" t="s">
        <v>20</v>
      </c>
      <c r="E6" s="9" t="s">
        <v>21</v>
      </c>
      <c r="F6" s="9"/>
      <c r="G6" s="9" t="s">
        <v>22</v>
      </c>
      <c r="H6" s="10" t="str">
        <f t="shared" ref="H6:BK6" si="3">LEFT(TEXT(H5,"jjj"),1)</f>
        <v>l</v>
      </c>
      <c r="I6" s="10" t="str">
        <f t="shared" si="3"/>
        <v>m</v>
      </c>
      <c r="J6" s="10" t="str">
        <f t="shared" si="3"/>
        <v>m</v>
      </c>
      <c r="K6" s="10" t="str">
        <f t="shared" si="3"/>
        <v>j</v>
      </c>
      <c r="L6" s="10" t="str">
        <f t="shared" si="3"/>
        <v>v</v>
      </c>
      <c r="M6" s="10" t="str">
        <f t="shared" si="3"/>
        <v>s</v>
      </c>
      <c r="N6" s="10" t="str">
        <f t="shared" si="3"/>
        <v>d</v>
      </c>
      <c r="O6" s="10" t="str">
        <f t="shared" si="3"/>
        <v>l</v>
      </c>
      <c r="P6" s="10" t="str">
        <f t="shared" si="3"/>
        <v>m</v>
      </c>
      <c r="Q6" s="10" t="str">
        <f t="shared" si="3"/>
        <v>m</v>
      </c>
      <c r="R6" s="10" t="str">
        <f t="shared" si="3"/>
        <v>j</v>
      </c>
      <c r="S6" s="10" t="str">
        <f t="shared" si="3"/>
        <v>v</v>
      </c>
      <c r="T6" s="10" t="str">
        <f t="shared" si="3"/>
        <v>s</v>
      </c>
      <c r="U6" s="10" t="str">
        <f t="shared" si="3"/>
        <v>d</v>
      </c>
      <c r="V6" s="10" t="str">
        <f t="shared" si="3"/>
        <v>l</v>
      </c>
      <c r="W6" s="10" t="str">
        <f t="shared" si="3"/>
        <v>m</v>
      </c>
      <c r="X6" s="10" t="str">
        <f t="shared" si="3"/>
        <v>m</v>
      </c>
      <c r="Y6" s="10" t="str">
        <f t="shared" si="3"/>
        <v>j</v>
      </c>
      <c r="Z6" s="10" t="str">
        <f t="shared" si="3"/>
        <v>v</v>
      </c>
      <c r="AA6" s="10" t="str">
        <f t="shared" si="3"/>
        <v>s</v>
      </c>
      <c r="AB6" s="10" t="str">
        <f t="shared" si="3"/>
        <v>d</v>
      </c>
      <c r="AC6" s="10" t="str">
        <f t="shared" si="3"/>
        <v>l</v>
      </c>
      <c r="AD6" s="10" t="str">
        <f t="shared" si="3"/>
        <v>m</v>
      </c>
      <c r="AE6" s="10" t="str">
        <f t="shared" si="3"/>
        <v>m</v>
      </c>
      <c r="AF6" s="10" t="str">
        <f t="shared" si="3"/>
        <v>j</v>
      </c>
      <c r="AG6" s="10" t="str">
        <f t="shared" si="3"/>
        <v>v</v>
      </c>
      <c r="AH6" s="10" t="str">
        <f t="shared" si="3"/>
        <v>s</v>
      </c>
      <c r="AI6" s="10" t="str">
        <f t="shared" si="3"/>
        <v>d</v>
      </c>
      <c r="AJ6" s="10" t="str">
        <f t="shared" si="3"/>
        <v>l</v>
      </c>
      <c r="AK6" s="10" t="str">
        <f t="shared" si="3"/>
        <v>m</v>
      </c>
      <c r="AL6" s="10" t="str">
        <f t="shared" si="3"/>
        <v>m</v>
      </c>
      <c r="AM6" s="10" t="str">
        <f t="shared" si="3"/>
        <v>j</v>
      </c>
      <c r="AN6" s="10" t="str">
        <f t="shared" si="3"/>
        <v>v</v>
      </c>
      <c r="AO6" s="10" t="str">
        <f t="shared" si="3"/>
        <v>s</v>
      </c>
      <c r="AP6" s="10" t="str">
        <f t="shared" si="3"/>
        <v>d</v>
      </c>
      <c r="AQ6" s="10" t="str">
        <f t="shared" si="3"/>
        <v>l</v>
      </c>
      <c r="AR6" s="10" t="str">
        <f t="shared" si="3"/>
        <v>m</v>
      </c>
      <c r="AS6" s="10" t="str">
        <f t="shared" si="3"/>
        <v>m</v>
      </c>
      <c r="AT6" s="10" t="str">
        <f t="shared" si="3"/>
        <v>j</v>
      </c>
      <c r="AU6" s="10" t="str">
        <f t="shared" si="3"/>
        <v>v</v>
      </c>
      <c r="AV6" s="10" t="str">
        <f t="shared" si="3"/>
        <v>s</v>
      </c>
      <c r="AW6" s="10" t="str">
        <f t="shared" si="3"/>
        <v>d</v>
      </c>
      <c r="AX6" s="10" t="str">
        <f t="shared" si="3"/>
        <v>l</v>
      </c>
      <c r="AY6" s="10" t="str">
        <f t="shared" si="3"/>
        <v>m</v>
      </c>
      <c r="AZ6" s="10" t="str">
        <f t="shared" si="3"/>
        <v>m</v>
      </c>
      <c r="BA6" s="10" t="str">
        <f t="shared" si="3"/>
        <v>j</v>
      </c>
      <c r="BB6" s="10" t="str">
        <f t="shared" si="3"/>
        <v>v</v>
      </c>
      <c r="BC6" s="10" t="str">
        <f t="shared" si="3"/>
        <v>s</v>
      </c>
      <c r="BD6" s="10" t="str">
        <f t="shared" si="3"/>
        <v>d</v>
      </c>
      <c r="BE6" s="10" t="str">
        <f t="shared" si="3"/>
        <v>l</v>
      </c>
      <c r="BF6" s="10" t="str">
        <f t="shared" si="3"/>
        <v>m</v>
      </c>
      <c r="BG6" s="10" t="str">
        <f t="shared" si="3"/>
        <v>m</v>
      </c>
      <c r="BH6" s="10" t="str">
        <f t="shared" si="3"/>
        <v>j</v>
      </c>
      <c r="BI6" s="10" t="str">
        <f t="shared" si="3"/>
        <v>v</v>
      </c>
      <c r="BJ6" s="10" t="str">
        <f t="shared" si="3"/>
        <v>s</v>
      </c>
      <c r="BK6" s="10" t="str">
        <f t="shared" si="3"/>
        <v>d</v>
      </c>
    </row>
    <row r="7" spans="1:63" ht="15" thickBot="1" x14ac:dyDescent="0.35">
      <c r="B7" s="35"/>
      <c r="G7" t="str">
        <f>IF(OR(ISBLANK(début_tâche),ISBLANK(fin_tâche)),"",fin_tâche-début_tâche+1)</f>
        <v/>
      </c>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row>
    <row r="8" spans="1:63" ht="15" thickBot="1" x14ac:dyDescent="0.35">
      <c r="A8" s="15" t="s">
        <v>24</v>
      </c>
      <c r="B8" s="39"/>
      <c r="C8" s="16"/>
      <c r="D8" s="53"/>
      <c r="E8" s="54"/>
      <c r="F8" s="14"/>
      <c r="G8" s="14" t="str">
        <f t="shared" ref="G8:G19" si="4">IF(OR(ISBLANK(début_tâche),ISBLANK(fin_tâche)),"",fin_tâche-début_tâche+1)</f>
        <v/>
      </c>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row>
    <row r="9" spans="1:63" ht="15" thickBot="1" x14ac:dyDescent="0.35">
      <c r="A9" s="46" t="s">
        <v>25</v>
      </c>
      <c r="B9" s="40"/>
      <c r="C9" s="17"/>
      <c r="D9" s="72">
        <v>46027</v>
      </c>
      <c r="E9" s="72">
        <v>46038</v>
      </c>
      <c r="F9" s="14"/>
      <c r="G9" s="14">
        <f>IF(OR(ISBLANK(D9),ISBLANK(E9)),"",E9-D9+1)</f>
        <v>12</v>
      </c>
      <c r="H9" s="75"/>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row>
    <row r="10" spans="1:63" ht="15" thickBot="1" x14ac:dyDescent="0.35">
      <c r="A10" s="46" t="s">
        <v>26</v>
      </c>
      <c r="B10" s="40"/>
      <c r="C10" s="17"/>
      <c r="D10" s="72">
        <v>46041</v>
      </c>
      <c r="E10" s="72">
        <v>46052</v>
      </c>
      <c r="F10" s="14"/>
      <c r="G10" s="14">
        <f>IF(OR(ISBLANK(D10),ISBLANK(E10)),"",E10-D10+1)</f>
        <v>12</v>
      </c>
      <c r="H10" s="28"/>
      <c r="I10" s="28"/>
      <c r="J10" s="28"/>
      <c r="K10" s="28"/>
      <c r="L10" s="28"/>
      <c r="M10" s="28"/>
      <c r="N10" s="28"/>
      <c r="O10" s="28"/>
      <c r="P10" s="28"/>
      <c r="Q10" s="28"/>
      <c r="R10" s="28"/>
      <c r="S10" s="28"/>
      <c r="T10" s="29"/>
      <c r="U10" s="29"/>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row>
    <row r="11" spans="1:63" ht="15" thickBot="1" x14ac:dyDescent="0.35">
      <c r="A11" s="46" t="s">
        <v>27</v>
      </c>
      <c r="B11" s="40"/>
      <c r="C11" s="17"/>
      <c r="D11" s="72">
        <v>46055</v>
      </c>
      <c r="E11" s="72">
        <v>46066</v>
      </c>
      <c r="F11" s="14"/>
      <c r="G11" s="14">
        <f>IF(OR(ISBLANK(D11),ISBLANK(E11)),"",E11-D11+1)</f>
        <v>12</v>
      </c>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row>
    <row r="12" spans="1:63" ht="15" thickBot="1" x14ac:dyDescent="0.35">
      <c r="A12" s="18" t="s">
        <v>28</v>
      </c>
      <c r="B12" s="41"/>
      <c r="C12" s="19"/>
      <c r="D12" s="55"/>
      <c r="E12" s="56"/>
      <c r="F12" s="14"/>
      <c r="G12" s="14" t="str">
        <f t="shared" si="4"/>
        <v/>
      </c>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row>
    <row r="13" spans="1:63" ht="15" thickBot="1" x14ac:dyDescent="0.35">
      <c r="A13" s="47" t="s">
        <v>29</v>
      </c>
      <c r="B13" s="42"/>
      <c r="C13" s="20"/>
      <c r="D13" s="73">
        <v>46069</v>
      </c>
      <c r="E13" s="73">
        <v>46087</v>
      </c>
      <c r="F13" s="14"/>
      <c r="G13" s="14">
        <f>IF(OR(ISBLANK(D13),ISBLANK(E13)),"",E13-D13+1)</f>
        <v>19</v>
      </c>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row>
    <row r="14" spans="1:63" ht="15" thickBot="1" x14ac:dyDescent="0.35">
      <c r="A14" s="47" t="s">
        <v>30</v>
      </c>
      <c r="B14" s="42"/>
      <c r="C14" s="20"/>
      <c r="D14" s="73">
        <v>46090</v>
      </c>
      <c r="E14" s="73">
        <v>46101</v>
      </c>
      <c r="F14" s="14"/>
      <c r="G14" s="14">
        <f>IF(OR(ISBLANK(D14),ISBLANK(E14)),"",E14-D14+1)</f>
        <v>12</v>
      </c>
      <c r="H14" s="28"/>
      <c r="I14" s="28"/>
      <c r="J14" s="28"/>
      <c r="K14" s="28"/>
      <c r="L14" s="28"/>
      <c r="M14" s="28"/>
      <c r="N14" s="28"/>
      <c r="O14" s="28"/>
      <c r="P14" s="28"/>
      <c r="Q14" s="28"/>
      <c r="R14" s="28"/>
      <c r="S14" s="28"/>
      <c r="T14" s="29"/>
      <c r="U14" s="29"/>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row>
    <row r="15" spans="1:63" ht="15" thickBot="1" x14ac:dyDescent="0.35">
      <c r="A15" s="21" t="s">
        <v>31</v>
      </c>
      <c r="B15" s="43"/>
      <c r="C15" s="22"/>
      <c r="D15" s="57"/>
      <c r="E15" s="58"/>
      <c r="F15" s="14"/>
      <c r="G15" s="14" t="str">
        <f t="shared" si="4"/>
        <v/>
      </c>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row>
    <row r="16" spans="1:63" ht="15" thickBot="1" x14ac:dyDescent="0.35">
      <c r="A16" s="48" t="s">
        <v>32</v>
      </c>
      <c r="B16" s="44"/>
      <c r="C16" s="23"/>
      <c r="D16" s="74">
        <v>46104</v>
      </c>
      <c r="E16" s="74">
        <v>46122</v>
      </c>
      <c r="F16" s="14"/>
      <c r="G16" s="14">
        <f>IF(OR(ISBLANK(D16),ISBLANK(E16)),"",E16-D16+1)</f>
        <v>19</v>
      </c>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row>
    <row r="17" spans="1:63" ht="15" thickBot="1" x14ac:dyDescent="0.35">
      <c r="A17" s="48" t="s">
        <v>33</v>
      </c>
      <c r="B17" s="44"/>
      <c r="C17" s="23"/>
      <c r="D17" s="74">
        <v>46125</v>
      </c>
      <c r="E17" s="74">
        <v>46136</v>
      </c>
      <c r="F17" s="14"/>
      <c r="G17" s="14">
        <f>IF(OR(ISBLANK(D17),ISBLANK(E17)),"",E17-D17+1)</f>
        <v>12</v>
      </c>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row>
    <row r="18" spans="1:63" ht="15" thickBot="1" x14ac:dyDescent="0.35">
      <c r="A18" s="49"/>
      <c r="B18" s="45"/>
      <c r="C18" s="13"/>
      <c r="D18" s="59"/>
      <c r="E18" s="59"/>
      <c r="F18" s="14"/>
      <c r="G18" s="14" t="str">
        <f t="shared" si="4"/>
        <v/>
      </c>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row>
    <row r="19" spans="1:63" ht="15" thickBot="1" x14ac:dyDescent="0.35">
      <c r="A19" s="24" t="s">
        <v>15</v>
      </c>
      <c r="B19" s="25"/>
      <c r="C19" s="26"/>
      <c r="D19" s="60"/>
      <c r="E19" s="61"/>
      <c r="F19" s="27"/>
      <c r="G19" s="27" t="str">
        <f t="shared" si="4"/>
        <v/>
      </c>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row>
  </sheetData>
  <mergeCells count="5">
    <mergeCell ref="B3:C3"/>
    <mergeCell ref="D3:E3"/>
    <mergeCell ref="B4:C4"/>
    <mergeCell ref="H4:AI4"/>
    <mergeCell ref="AJ4:BK4"/>
  </mergeCells>
  <conditionalFormatting sqref="C7:C19">
    <cfRule type="dataBar" priority="1">
      <dataBar>
        <cfvo type="num" val="0"/>
        <cfvo type="num" val="1"/>
        <color theme="0" tint="-0.249977111117893"/>
      </dataBar>
      <extLst>
        <ext xmlns:x14="http://schemas.microsoft.com/office/spreadsheetml/2009/9/main" uri="{B025F937-C7B1-47D3-B67F-A62EFF666E3E}">
          <x14:id>{D4C7267F-70C5-47A6-8A8E-5A5606E8F006}</x14:id>
        </ext>
      </extLst>
    </cfRule>
  </conditionalFormatting>
  <conditionalFormatting sqref="H5:BK19">
    <cfRule type="expression" dxfId="2" priority="4">
      <formula>AND(TODAY()&gt;=H$5,TODAY()&lt;I$5)</formula>
    </cfRule>
  </conditionalFormatting>
  <conditionalFormatting sqref="H7:BK19">
    <cfRule type="expression" dxfId="1" priority="2">
      <formula>AND(début_tâche&lt;=H$5,ROUNDDOWN((fin_tâche-début_tâche+1)*avancement_tâche,0)+début_tâche-1&gt;=H$5)</formula>
    </cfRule>
    <cfRule type="expression" dxfId="0" priority="3" stopIfTrue="1">
      <formula>AND(fin_tâche&gt;=H$5,début_tâche&lt;I$5)</formula>
    </cfRule>
  </conditionalFormatting>
  <dataValidations count="1">
    <dataValidation type="whole" operator="greaterThanOrEqual" allowBlank="1" showInputMessage="1" promptTitle="Semaine d’affichage" prompt="La modification de ce nombre entraînera la défilement du diagramme de Gantt." sqref="D4" xr:uid="{C26335F3-F9EE-4884-BD34-F740414F69E0}">
      <formula1>1</formula1>
    </dataValidation>
  </dataValidations>
  <hyperlinks>
    <hyperlink ref="H1" r:id="rId1" display="DIAGRAMME DE GANTT SIMPLE par Vertex42.com" xr:uid="{DC1ED1BC-66E4-45E1-8042-D2947DD7846F}"/>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4C7267F-70C5-47A6-8A8E-5A5606E8F006}">
            <x14:dataBar minLength="0" maxLength="100" gradient="0">
              <x14:cfvo type="num">
                <xm:f>0</xm:f>
              </x14:cfvo>
              <x14:cfvo type="num">
                <xm:f>1</xm:f>
              </x14:cfvo>
              <x14:negativeFillColor rgb="FFFF0000"/>
              <x14:axisColor rgb="FF000000"/>
            </x14:dataBar>
          </x14:cfRule>
          <xm:sqref>C7:C19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openxmlformats.org/package/2006/metadata/core-properties"/>
    <ds:schemaRef ds:uri="http://www.w3.org/XML/1998/namespace"/>
    <ds:schemaRef ds:uri="http://schemas.microsoft.com/office/infopath/2007/PartnerControls"/>
    <ds:schemaRef ds:uri="230e9df3-be65-4c73-a93b-d1236ebd677e"/>
    <ds:schemaRef ds:uri="16c05727-aa75-4e4a-9b5f-8a80a1165891"/>
    <ds:schemaRef ds:uri="http://schemas.microsoft.com/sharepoint/v3"/>
    <ds:schemaRef ds:uri="http://schemas.microsoft.com/office/2006/documentManagement/types"/>
    <ds:schemaRef ds:uri="http://purl.org/dc/terms/"/>
    <ds:schemaRef ds:uri="71af3243-3dd4-4a8d-8c0d-dd76da1f02a5"/>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Feuilles de calcul</vt:lpstr>
      </vt:variant>
      <vt:variant>
        <vt:i4>2</vt:i4>
      </vt:variant>
      <vt:variant>
        <vt:lpstr>Plages nommées</vt:lpstr>
      </vt:variant>
      <vt:variant>
        <vt:i4>9</vt:i4>
      </vt:variant>
    </vt:vector>
  </HeadingPairs>
  <TitlesOfParts>
    <vt:vector size="11" baseType="lpstr">
      <vt:lpstr>PlanningProjet</vt:lpstr>
      <vt:lpstr>Feuil1</vt:lpstr>
      <vt:lpstr>Feuil1!avancement_tâche</vt:lpstr>
      <vt:lpstr>PlanningProjet!avancement_tâche</vt:lpstr>
      <vt:lpstr>Début_Projet</vt:lpstr>
      <vt:lpstr>Feuil1!début_tâche</vt:lpstr>
      <vt:lpstr>PlanningProjet!début_tâche</vt:lpstr>
      <vt:lpstr>Feuil1!fin_tâche</vt:lpstr>
      <vt:lpstr>PlanningProjet!fin_tâche</vt:lpstr>
      <vt:lpstr>PlanningProjet!Impression_des_titres</vt:lpstr>
      <vt:lpstr>Semaine_Affichage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2026-04-08T14:37:49Z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