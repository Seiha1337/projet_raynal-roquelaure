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 BTS\Docs_Techniques\"/>
    </mc:Choice>
  </mc:AlternateContent>
  <xr:revisionPtr revIDLastSave="0" documentId="13_ncr:1_{B14664CC-A9E3-4A77-B807-7662A6B27A69}" xr6:coauthVersionLast="47" xr6:coauthVersionMax="47" xr10:uidLastSave="{00000000-0000-0000-0000-000000000000}"/>
  <bookViews>
    <workbookView xWindow="-108" yWindow="-108" windowWidth="23256" windowHeight="12456" xr2:uid="{615FE712-6525-4F78-A315-3FA54E197A27}"/>
  </bookViews>
  <sheets>
    <sheet name="Feuil1" sheetId="1" r:id="rId1"/>
  </sheets>
  <externalReferences>
    <externalReference r:id="rId2"/>
  </externalReferences>
  <definedNames>
    <definedName name="Début_Projet">[1]PlanningProjet!$E$3</definedName>
    <definedName name="début_tâche" localSheetId="0">[1]PlanningProjet!$E1</definedName>
    <definedName name="fin_tâche" localSheetId="0">[1]PlanningProjet!$F1</definedName>
    <definedName name="Semaine_Affichage">[1]PlanningProjet!$E$4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7" i="1" l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BK7" i="1"/>
  <c r="BL7" i="1"/>
  <c r="BM7" i="1"/>
  <c r="BN7" i="1"/>
  <c r="BO7" i="1"/>
  <c r="BP7" i="1"/>
  <c r="BQ7" i="1"/>
  <c r="G6" i="1"/>
  <c r="H6" i="1" s="1"/>
  <c r="F19" i="1"/>
  <c r="F18" i="1"/>
  <c r="BJ7" i="1" l="1"/>
  <c r="H7" i="1"/>
  <c r="I6" i="1"/>
  <c r="G7" i="1"/>
  <c r="I7" i="1" l="1"/>
  <c r="J6" i="1"/>
  <c r="J7" i="1" l="1"/>
  <c r="K6" i="1"/>
  <c r="L6" i="1" l="1"/>
  <c r="K7" i="1"/>
  <c r="L7" i="1" l="1"/>
  <c r="M6" i="1"/>
  <c r="M7" i="1" l="1"/>
  <c r="N6" i="1"/>
  <c r="N7" i="1" l="1"/>
  <c r="O6" i="1"/>
  <c r="O7" i="1" l="1"/>
  <c r="P6" i="1"/>
  <c r="P7" i="1" l="1"/>
  <c r="Q6" i="1"/>
  <c r="R6" i="1" l="1"/>
  <c r="Q7" i="1"/>
  <c r="S6" i="1" l="1"/>
  <c r="R7" i="1"/>
  <c r="S7" i="1" l="1"/>
  <c r="T6" i="1"/>
  <c r="U6" i="1" l="1"/>
  <c r="T7" i="1"/>
  <c r="U7" i="1" l="1"/>
  <c r="V6" i="1"/>
  <c r="V7" i="1" l="1"/>
  <c r="W6" i="1"/>
  <c r="X6" i="1" l="1"/>
  <c r="W7" i="1"/>
  <c r="X7" i="1" l="1"/>
  <c r="Y6" i="1"/>
  <c r="Y7" i="1" l="1"/>
  <c r="Z6" i="1"/>
  <c r="Z7" i="1" l="1"/>
  <c r="AA6" i="1"/>
  <c r="AA7" i="1" l="1"/>
  <c r="AB6" i="1"/>
  <c r="AC6" i="1" l="1"/>
  <c r="AB7" i="1"/>
  <c r="AC7" i="1" l="1"/>
  <c r="AD6" i="1"/>
  <c r="AD7" i="1" l="1"/>
  <c r="AE6" i="1"/>
  <c r="AE7" i="1" l="1"/>
  <c r="AF6" i="1"/>
  <c r="AG6" i="1" l="1"/>
  <c r="AF7" i="1"/>
  <c r="AG7" i="1" l="1"/>
  <c r="AH6" i="1"/>
  <c r="AI6" i="1" l="1"/>
  <c r="AH7" i="1"/>
  <c r="AI7" i="1" l="1"/>
  <c r="AJ6" i="1"/>
  <c r="AK6" i="1" l="1"/>
  <c r="AJ7" i="1"/>
  <c r="AK7" i="1" l="1"/>
  <c r="AL6" i="1"/>
  <c r="AM6" i="1" l="1"/>
  <c r="AL7" i="1"/>
  <c r="AN6" i="1" l="1"/>
  <c r="AM7" i="1"/>
  <c r="AO6" i="1" l="1"/>
  <c r="AN7" i="1"/>
  <c r="AO7" i="1" l="1"/>
  <c r="AP6" i="1"/>
  <c r="AP7" i="1" l="1"/>
  <c r="AQ6" i="1"/>
  <c r="AR6" i="1" l="1"/>
  <c r="AQ7" i="1"/>
  <c r="AS6" i="1" l="1"/>
  <c r="AR7" i="1"/>
  <c r="AT6" i="1" l="1"/>
  <c r="AS7" i="1"/>
  <c r="AT7" i="1" l="1"/>
  <c r="AU6" i="1"/>
  <c r="AU7" i="1" l="1"/>
  <c r="AV6" i="1"/>
  <c r="AV7" i="1" l="1"/>
  <c r="AW6" i="1"/>
  <c r="AW7" i="1" l="1"/>
  <c r="AX6" i="1"/>
  <c r="AY6" i="1" l="1"/>
  <c r="AX7" i="1"/>
  <c r="AZ6" i="1" l="1"/>
  <c r="AY7" i="1"/>
  <c r="BA6" i="1" l="1"/>
  <c r="AZ7" i="1"/>
  <c r="BA7" i="1" l="1"/>
  <c r="BB6" i="1"/>
  <c r="BC6" i="1" l="1"/>
  <c r="BB7" i="1"/>
  <c r="BC7" i="1" l="1"/>
  <c r="BD6" i="1"/>
  <c r="BE6" i="1" l="1"/>
  <c r="BD7" i="1"/>
  <c r="BE7" i="1" l="1"/>
  <c r="BF6" i="1"/>
  <c r="BG6" i="1" l="1"/>
  <c r="BF7" i="1"/>
  <c r="BG7" i="1" l="1"/>
  <c r="BH6" i="1"/>
  <c r="BH7" i="1" l="1"/>
  <c r="BI6" i="1"/>
  <c r="BI7" i="1" s="1"/>
</calcChain>
</file>

<file path=xl/sharedStrings.xml><?xml version="1.0" encoding="utf-8"?>
<sst xmlns="http://schemas.openxmlformats.org/spreadsheetml/2006/main" count="27" uniqueCount="27">
  <si>
    <t>RAYNAL&amp;ROQUELAURE</t>
  </si>
  <si>
    <t>Payen Armand</t>
  </si>
  <si>
    <t>Début du projet :</t>
  </si>
  <si>
    <t>Semaine d’affichage :</t>
  </si>
  <si>
    <t>TÂCHE</t>
  </si>
  <si>
    <t>AVANCEMENT</t>
  </si>
  <si>
    <t>DÉBUT</t>
  </si>
  <si>
    <t>FIN</t>
  </si>
  <si>
    <t>JOURS</t>
  </si>
  <si>
    <t>Phase 1 - Analyse &amp; Développement</t>
  </si>
  <si>
    <t>Étude des automates : Recensement des adresses IP et identification des registres Modbus</t>
  </si>
  <si>
    <t>Développement du Driver : Écriture du script Node.js et tests de lecture Modbus sur l'OPTA</t>
  </si>
  <si>
    <t>Conteneurisation IoT : Création du Dockerfile et automatisation via GitHub Actions</t>
  </si>
  <si>
    <t>Phase 2 - Intégration &amp; Optimisation</t>
  </si>
  <si>
    <t>Liaison &amp; Fiabilisation : Connexion à la BDD MariaDB + bouclier anti-crash</t>
  </si>
  <si>
    <t>Optimisation Industrielle : Réglage fréquence 1 min, déploiement Docker Compose</t>
  </si>
  <si>
    <t>Phase 3 - Finalisation &amp; Validation</t>
  </si>
  <si>
    <t>Journalisation Avancée : Journal d'incidents précis et Throttling (10 min)</t>
  </si>
  <si>
    <t>Tests de Robustesse &amp; Recette : Simulations de pannes et validation chaîne complète</t>
  </si>
  <si>
    <t>Insérez les nouvelle lignes au-dessus de celle-ci.</t>
  </si>
  <si>
    <t>JANVIER</t>
  </si>
  <si>
    <t>FEVRIER</t>
  </si>
  <si>
    <t>MARS</t>
  </si>
  <si>
    <t>AVRIL</t>
  </si>
  <si>
    <t>j</t>
  </si>
  <si>
    <t>v</t>
  </si>
  <si>
    <t>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</si>
</sst>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d\,\ m/d/yyyy"/>
    <numFmt numFmtId="165" formatCode="ddd\,\ d/m/yyyy"/>
    <numFmt numFmtId="166" formatCode="d/m/yy;@"/>
    <numFmt numFmtId="167" formatCode="d/m/yy"/>
    <numFmt numFmtId="168" formatCode="d\ mmm\ yyyy"/>
    <numFmt numFmtId="169" formatCode="d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4" tint="-0.249977111117893"/>
      <name val="Aptos Display"/>
      <family val="2"/>
      <scheme val="major"/>
    </font>
    <font>
      <sz val="1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0"/>
      <color theme="1" tint="0.499984740745262"/>
      <name val="Aptos Narrow"/>
      <family val="2"/>
      <scheme val="minor"/>
    </font>
    <font>
      <sz val="9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34998626667073579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164" fontId="1" fillId="0" borderId="5">
      <alignment horizontal="center" vertical="center"/>
    </xf>
    <xf numFmtId="0" fontId="1" fillId="0" borderId="8" applyFill="0">
      <alignment horizontal="center" vertical="center"/>
    </xf>
    <xf numFmtId="0" fontId="1" fillId="0" borderId="8" applyFill="0">
      <alignment horizontal="left" vertical="center" indent="2"/>
    </xf>
    <xf numFmtId="166" fontId="1" fillId="0" borderId="8" applyFill="0">
      <alignment horizontal="center" vertical="center"/>
    </xf>
  </cellStyleXfs>
  <cellXfs count="62">
    <xf numFmtId="0" fontId="0" fillId="0" borderId="0" xfId="0"/>
    <xf numFmtId="0" fontId="2" fillId="0" borderId="0" xfId="2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1" xfId="3"/>
    <xf numFmtId="0" fontId="0" fillId="0" borderId="0" xfId="0" applyAlignment="1">
      <alignment horizontal="center"/>
    </xf>
    <xf numFmtId="0" fontId="4" fillId="0" borderId="2" xfId="4" applyAlignment="1">
      <alignment vertical="top"/>
    </xf>
    <xf numFmtId="0" fontId="5" fillId="0" borderId="3" xfId="5" applyAlignment="1">
      <alignment horizontal="right" indent="1"/>
    </xf>
    <xf numFmtId="0" fontId="5" fillId="0" borderId="4" xfId="5" applyBorder="1" applyAlignment="1">
      <alignment horizontal="right" indent="1"/>
    </xf>
    <xf numFmtId="165" fontId="1" fillId="0" borderId="5" xfId="6" applyNumberFormat="1">
      <alignment horizontal="center" vertical="center"/>
    </xf>
    <xf numFmtId="164" fontId="1" fillId="0" borderId="5" xfId="6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9" fillId="2" borderId="7" xfId="0" applyFont="1" applyFill="1" applyBorder="1" applyAlignment="1">
      <alignment horizontal="left" vertical="center" indent="1"/>
    </xf>
    <xf numFmtId="0" fontId="9" fillId="2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left" vertical="center" indent="1"/>
    </xf>
    <xf numFmtId="9" fontId="10" fillId="3" borderId="8" xfId="1" applyFont="1" applyFill="1" applyBorder="1" applyAlignment="1">
      <alignment horizontal="center" vertical="center"/>
    </xf>
    <xf numFmtId="166" fontId="0" fillId="3" borderId="8" xfId="0" applyNumberFormat="1" applyFill="1" applyBorder="1" applyAlignment="1">
      <alignment horizontal="center" vertical="center"/>
    </xf>
    <xf numFmtId="166" fontId="10" fillId="3" borderId="8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" fillId="4" borderId="8" xfId="8" applyFill="1">
      <alignment horizontal="left" vertical="center" indent="2"/>
    </xf>
    <xf numFmtId="9" fontId="10" fillId="4" borderId="8" xfId="1" applyFont="1" applyFill="1" applyBorder="1" applyAlignment="1">
      <alignment horizontal="center" vertical="center"/>
    </xf>
    <xf numFmtId="167" fontId="1" fillId="4" borderId="8" xfId="9" applyNumberFormat="1" applyFill="1">
      <alignment horizontal="center" vertical="center"/>
    </xf>
    <xf numFmtId="0" fontId="6" fillId="5" borderId="8" xfId="0" applyFont="1" applyFill="1" applyBorder="1" applyAlignment="1">
      <alignment horizontal="left" vertical="center" indent="1"/>
    </xf>
    <xf numFmtId="9" fontId="10" fillId="5" borderId="8" xfId="1" applyFont="1" applyFill="1" applyBorder="1" applyAlignment="1">
      <alignment horizontal="center" vertical="center"/>
    </xf>
    <xf numFmtId="166" fontId="0" fillId="5" borderId="8" xfId="0" applyNumberFormat="1" applyFill="1" applyBorder="1" applyAlignment="1">
      <alignment horizontal="center" vertical="center"/>
    </xf>
    <xf numFmtId="0" fontId="1" fillId="6" borderId="8" xfId="8" applyFill="1">
      <alignment horizontal="left" vertical="center" indent="2"/>
    </xf>
    <xf numFmtId="9" fontId="10" fillId="6" borderId="8" xfId="1" applyFont="1" applyFill="1" applyBorder="1" applyAlignment="1">
      <alignment horizontal="center" vertical="center"/>
    </xf>
    <xf numFmtId="167" fontId="1" fillId="6" borderId="8" xfId="9" applyNumberFormat="1" applyFill="1">
      <alignment horizontal="center" vertical="center"/>
    </xf>
    <xf numFmtId="0" fontId="6" fillId="7" borderId="8" xfId="0" applyFont="1" applyFill="1" applyBorder="1" applyAlignment="1">
      <alignment horizontal="left" vertical="center" indent="1"/>
    </xf>
    <xf numFmtId="9" fontId="10" fillId="7" borderId="8" xfId="1" applyFont="1" applyFill="1" applyBorder="1" applyAlignment="1">
      <alignment horizontal="center" vertical="center"/>
    </xf>
    <xf numFmtId="166" fontId="0" fillId="7" borderId="8" xfId="0" applyNumberFormat="1" applyFill="1" applyBorder="1" applyAlignment="1">
      <alignment horizontal="center" vertical="center"/>
    </xf>
    <xf numFmtId="166" fontId="10" fillId="7" borderId="8" xfId="0" applyNumberFormat="1" applyFont="1" applyFill="1" applyBorder="1" applyAlignment="1">
      <alignment horizontal="center" vertical="center"/>
    </xf>
    <xf numFmtId="0" fontId="1" fillId="8" borderId="8" xfId="8" applyFill="1">
      <alignment horizontal="left" vertical="center" indent="2"/>
    </xf>
    <xf numFmtId="9" fontId="10" fillId="8" borderId="8" xfId="1" applyFont="1" applyFill="1" applyBorder="1" applyAlignment="1">
      <alignment horizontal="center" vertical="center"/>
    </xf>
    <xf numFmtId="167" fontId="1" fillId="8" borderId="8" xfId="9" applyNumberFormat="1" applyFill="1">
      <alignment horizontal="center" vertical="center"/>
    </xf>
    <xf numFmtId="0" fontId="1" fillId="0" borderId="8" xfId="8">
      <alignment horizontal="left" vertical="center" indent="2"/>
    </xf>
    <xf numFmtId="0" fontId="1" fillId="0" borderId="8" xfId="7">
      <alignment horizontal="center" vertical="center"/>
    </xf>
    <xf numFmtId="9" fontId="10" fillId="0" borderId="8" xfId="1" applyFont="1" applyBorder="1" applyAlignment="1">
      <alignment horizontal="center" vertical="center"/>
    </xf>
    <xf numFmtId="166" fontId="1" fillId="0" borderId="8" xfId="9">
      <alignment horizontal="center" vertical="center"/>
    </xf>
    <xf numFmtId="0" fontId="11" fillId="9" borderId="8" xfId="0" applyFont="1" applyFill="1" applyBorder="1" applyAlignment="1">
      <alignment horizontal="left" vertical="center" indent="1"/>
    </xf>
    <xf numFmtId="0" fontId="11" fillId="9" borderId="8" xfId="0" applyFont="1" applyFill="1" applyBorder="1" applyAlignment="1">
      <alignment horizontal="center" vertical="center"/>
    </xf>
    <xf numFmtId="9" fontId="10" fillId="9" borderId="8" xfId="1" applyFont="1" applyFill="1" applyBorder="1" applyAlignment="1">
      <alignment horizontal="center" vertical="center"/>
    </xf>
    <xf numFmtId="166" fontId="12" fillId="9" borderId="8" xfId="0" applyNumberFormat="1" applyFont="1" applyFill="1" applyBorder="1" applyAlignment="1">
      <alignment horizontal="left" vertical="center"/>
    </xf>
    <xf numFmtId="166" fontId="10" fillId="9" borderId="8" xfId="0" applyNumberFormat="1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169" fontId="13" fillId="10" borderId="11" xfId="0" applyNumberFormat="1" applyFont="1" applyFill="1" applyBorder="1" applyAlignment="1">
      <alignment horizontal="center" vertical="center"/>
    </xf>
    <xf numFmtId="169" fontId="13" fillId="10" borderId="0" xfId="0" applyNumberFormat="1" applyFont="1" applyFill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4" fillId="11" borderId="12" xfId="0" applyFont="1" applyFill="1" applyBorder="1" applyAlignment="1">
      <alignment horizontal="center" vertical="center" shrinkToFit="1"/>
    </xf>
    <xf numFmtId="168" fontId="0" fillId="10" borderId="9" xfId="0" applyNumberFormat="1" applyFill="1" applyBorder="1" applyAlignment="1">
      <alignment horizontal="center" vertical="center" wrapText="1"/>
    </xf>
    <xf numFmtId="168" fontId="0" fillId="10" borderId="7" xfId="0" applyNumberFormat="1" applyFill="1" applyBorder="1" applyAlignment="1">
      <alignment horizontal="center" vertical="center" wrapText="1"/>
    </xf>
    <xf numFmtId="168" fontId="0" fillId="10" borderId="10" xfId="0" applyNumberFormat="1" applyFill="1" applyBorder="1" applyAlignment="1">
      <alignment horizontal="center" vertical="center" wrapText="1"/>
    </xf>
    <xf numFmtId="168" fontId="0" fillId="10" borderId="11" xfId="0" applyNumberFormat="1" applyFill="1" applyBorder="1" applyAlignment="1">
      <alignment horizontal="center" vertical="center" wrapText="1"/>
    </xf>
    <xf numFmtId="168" fontId="0" fillId="10" borderId="0" xfId="0" applyNumberFormat="1" applyFill="1" applyBorder="1" applyAlignment="1">
      <alignment horizontal="center" vertical="center" wrapText="1"/>
    </xf>
    <xf numFmtId="168" fontId="0" fillId="10" borderId="0" xfId="0" applyNumberFormat="1" applyFill="1" applyBorder="1" applyAlignment="1">
      <alignment horizontal="center" vertical="center" wrapText="1"/>
    </xf>
    <xf numFmtId="0" fontId="0" fillId="12" borderId="0" xfId="0" applyFill="1"/>
    <xf numFmtId="20" fontId="10" fillId="5" borderId="8" xfId="0" applyNumberFormat="1" applyFont="1" applyFill="1" applyBorder="1" applyAlignment="1">
      <alignment horizontal="center" vertical="center"/>
    </xf>
    <xf numFmtId="20" fontId="0" fillId="0" borderId="0" xfId="0" applyNumberFormat="1"/>
    <xf numFmtId="0" fontId="0" fillId="13" borderId="0" xfId="0" applyFill="1"/>
  </cellXfs>
  <cellStyles count="10">
    <cellStyle name="Date" xfId="9" xr:uid="{CBB75EA7-CD7A-4E06-9658-B6934F76BB18}"/>
    <cellStyle name="Début du projet" xfId="6" xr:uid="{3E7BE237-D2BE-4062-B9E0-3599B5444DB1}"/>
    <cellStyle name="Nom" xfId="7" xr:uid="{5DAB1716-C7C5-4E29-AA4F-F96510E34805}"/>
    <cellStyle name="Normal" xfId="0" builtinId="0"/>
    <cellStyle name="Pourcentage" xfId="1" builtinId="5"/>
    <cellStyle name="Tâche" xfId="8" xr:uid="{6164F065-F1D6-4132-AF24-BA67FAACFB9F}"/>
    <cellStyle name="Titre" xfId="2" builtinId="15"/>
    <cellStyle name="Titre 1" xfId="3" builtinId="16"/>
    <cellStyle name="Titre 2" xfId="4" builtinId="17"/>
    <cellStyle name="Titre 3" xfId="5" builtinId="18"/>
  </cellStyles>
  <dxfs count="4"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%20BTS\Docs_Techniques\GANTT%20RAYNAL&amp;ROQUELAURE%20PAYEN.xlsx" TargetMode="External"/><Relationship Id="rId1" Type="http://schemas.openxmlformats.org/officeDocument/2006/relationships/externalLinkPath" Target="GANTT%20RAYNAL&amp;ROQUELAURE%20PAY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ningProjet"/>
      <sheetName val="Feuil1"/>
    </sheetNames>
    <sheetDataSet>
      <sheetData sheetId="0">
        <row r="3">
          <cell r="E3">
            <v>46027</v>
          </cell>
        </row>
        <row r="4">
          <cell r="E4">
            <v>1</v>
          </cell>
        </row>
        <row r="18">
          <cell r="H18" t="str">
            <v/>
          </cell>
        </row>
        <row r="19">
          <cell r="H19" t="str">
            <v/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A980-5B48-4E4B-9AE5-916D343A17D9}">
  <dimension ref="A1:DS19"/>
  <sheetViews>
    <sheetView tabSelected="1" zoomScale="122" zoomScaleNormal="122" workbookViewId="0">
      <selection activeCell="BR14" sqref="BR14:CC14"/>
    </sheetView>
  </sheetViews>
  <sheetFormatPr baseColWidth="10" defaultRowHeight="14.4" x14ac:dyDescent="0.3"/>
  <cols>
    <col min="1" max="1" width="96.6640625" customWidth="1"/>
    <col min="2" max="2" width="13.109375" bestFit="1" customWidth="1"/>
    <col min="3" max="3" width="10.5546875" bestFit="1" customWidth="1"/>
    <col min="4" max="4" width="8.33203125" bestFit="1" customWidth="1"/>
    <col min="5" max="5" width="7.77734375" bestFit="1" customWidth="1"/>
  </cols>
  <sheetData>
    <row r="1" spans="1:123" ht="25.8" x14ac:dyDescent="0.5">
      <c r="A1" s="1" t="s">
        <v>0</v>
      </c>
      <c r="B1" s="2"/>
      <c r="C1" s="3"/>
      <c r="D1" s="4"/>
      <c r="E1" s="5"/>
      <c r="F1" s="3"/>
    </row>
    <row r="2" spans="1:123" ht="20.399999999999999" thickBot="1" x14ac:dyDescent="0.45">
      <c r="A2" s="6"/>
      <c r="D2" s="7"/>
    </row>
    <row r="3" spans="1:123" ht="18.600000000000001" thickTop="1" thickBot="1" x14ac:dyDescent="0.35">
      <c r="A3" s="8" t="s">
        <v>1</v>
      </c>
      <c r="B3" s="9" t="s">
        <v>2</v>
      </c>
      <c r="C3" s="10"/>
      <c r="D3" s="11">
        <v>46027</v>
      </c>
      <c r="E3" s="12"/>
    </row>
    <row r="4" spans="1:123" ht="15.6" thickTop="1" thickBot="1" x14ac:dyDescent="0.35">
      <c r="B4" s="9" t="s">
        <v>3</v>
      </c>
      <c r="C4" s="10"/>
      <c r="D4" s="13">
        <v>1</v>
      </c>
    </row>
    <row r="5" spans="1:123" x14ac:dyDescent="0.3">
      <c r="A5" s="14"/>
      <c r="B5" s="14"/>
      <c r="C5" s="14"/>
      <c r="D5" s="14"/>
      <c r="E5" s="14"/>
      <c r="G5" s="52" t="s">
        <v>20</v>
      </c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4"/>
      <c r="AH5" s="52" t="s">
        <v>21</v>
      </c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4"/>
      <c r="BJ5" s="55" t="s">
        <v>22</v>
      </c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5" t="s">
        <v>23</v>
      </c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7" t="s">
        <v>26</v>
      </c>
    </row>
    <row r="6" spans="1:123" x14ac:dyDescent="0.3">
      <c r="A6" s="14"/>
      <c r="B6" s="14"/>
      <c r="C6" s="14"/>
      <c r="D6" s="14"/>
      <c r="E6" s="14"/>
      <c r="G6" s="48">
        <f>Début_Projet-WEEKDAY(Début_Projet,1)+2+7*(Semaine_Affichage-1)</f>
        <v>46027</v>
      </c>
      <c r="H6" s="49">
        <f>G6+1</f>
        <v>46028</v>
      </c>
      <c r="I6" s="49">
        <f>H6+1</f>
        <v>46029</v>
      </c>
      <c r="J6" s="49">
        <f>I6+1</f>
        <v>46030</v>
      </c>
      <c r="K6" s="49">
        <f>J6+1</f>
        <v>46031</v>
      </c>
      <c r="L6" s="49">
        <f>K6+1</f>
        <v>46032</v>
      </c>
      <c r="M6" s="50">
        <f>L6+1</f>
        <v>46033</v>
      </c>
      <c r="N6" s="48">
        <f>M6+1</f>
        <v>46034</v>
      </c>
      <c r="O6" s="49">
        <f>N6+1</f>
        <v>46035</v>
      </c>
      <c r="P6" s="49">
        <f>O6+1</f>
        <v>46036</v>
      </c>
      <c r="Q6" s="49">
        <f>P6+1</f>
        <v>46037</v>
      </c>
      <c r="R6" s="49">
        <f>Q6+1</f>
        <v>46038</v>
      </c>
      <c r="S6" s="49">
        <f>R6+1</f>
        <v>46039</v>
      </c>
      <c r="T6" s="50">
        <f>S6+1</f>
        <v>46040</v>
      </c>
      <c r="U6" s="48">
        <f>T6+1</f>
        <v>46041</v>
      </c>
      <c r="V6" s="49">
        <f>U6+1</f>
        <v>46042</v>
      </c>
      <c r="W6" s="49">
        <f>V6+1</f>
        <v>46043</v>
      </c>
      <c r="X6" s="49">
        <f>W6+1</f>
        <v>46044</v>
      </c>
      <c r="Y6" s="49">
        <f>X6+1</f>
        <v>46045</v>
      </c>
      <c r="Z6" s="49">
        <f>Y6+1</f>
        <v>46046</v>
      </c>
      <c r="AA6" s="50">
        <f>Z6+1</f>
        <v>46047</v>
      </c>
      <c r="AB6" s="48">
        <f>AA6+1</f>
        <v>46048</v>
      </c>
      <c r="AC6" s="49">
        <f>AB6+1</f>
        <v>46049</v>
      </c>
      <c r="AD6" s="49">
        <f>AC6+1</f>
        <v>46050</v>
      </c>
      <c r="AE6" s="49">
        <f>AD6+1</f>
        <v>46051</v>
      </c>
      <c r="AF6" s="49">
        <f>AE6+1</f>
        <v>46052</v>
      </c>
      <c r="AG6" s="49">
        <f>AF6+1</f>
        <v>46053</v>
      </c>
      <c r="AH6" s="48">
        <f>AG6+1</f>
        <v>46054</v>
      </c>
      <c r="AI6" s="49">
        <f>AH6+1</f>
        <v>46055</v>
      </c>
      <c r="AJ6" s="49">
        <f t="shared" ref="AJ6:AU6" si="0">AI6+1</f>
        <v>46056</v>
      </c>
      <c r="AK6" s="49">
        <f t="shared" si="0"/>
        <v>46057</v>
      </c>
      <c r="AL6" s="49">
        <f t="shared" si="0"/>
        <v>46058</v>
      </c>
      <c r="AM6" s="49">
        <f t="shared" si="0"/>
        <v>46059</v>
      </c>
      <c r="AN6" s="50">
        <f t="shared" si="0"/>
        <v>46060</v>
      </c>
      <c r="AO6" s="48">
        <f>AN6+1</f>
        <v>46061</v>
      </c>
      <c r="AP6" s="49">
        <f>AO6+1</f>
        <v>46062</v>
      </c>
      <c r="AQ6" s="49">
        <f t="shared" si="0"/>
        <v>46063</v>
      </c>
      <c r="AR6" s="49">
        <f t="shared" si="0"/>
        <v>46064</v>
      </c>
      <c r="AS6" s="49">
        <f t="shared" si="0"/>
        <v>46065</v>
      </c>
      <c r="AT6" s="49">
        <f t="shared" si="0"/>
        <v>46066</v>
      </c>
      <c r="AU6" s="50">
        <f t="shared" si="0"/>
        <v>46067</v>
      </c>
      <c r="AV6" s="48">
        <f>AU6+1</f>
        <v>46068</v>
      </c>
      <c r="AW6" s="49">
        <f>AV6+1</f>
        <v>46069</v>
      </c>
      <c r="AX6" s="49">
        <f t="shared" ref="AX6:BB6" si="1">AW6+1</f>
        <v>46070</v>
      </c>
      <c r="AY6" s="49">
        <f t="shared" si="1"/>
        <v>46071</v>
      </c>
      <c r="AZ6" s="49">
        <f t="shared" si="1"/>
        <v>46072</v>
      </c>
      <c r="BA6" s="49">
        <f t="shared" si="1"/>
        <v>46073</v>
      </c>
      <c r="BB6" s="50">
        <f t="shared" si="1"/>
        <v>46074</v>
      </c>
      <c r="BC6" s="48">
        <f>BB6+1</f>
        <v>46075</v>
      </c>
      <c r="BD6" s="49">
        <f>BC6+1</f>
        <v>46076</v>
      </c>
      <c r="BE6" s="49">
        <f t="shared" ref="BE6:BI6" si="2">BD6+1</f>
        <v>46077</v>
      </c>
      <c r="BF6" s="49">
        <f t="shared" si="2"/>
        <v>46078</v>
      </c>
      <c r="BG6" s="49">
        <f t="shared" si="2"/>
        <v>46079</v>
      </c>
      <c r="BH6" s="49">
        <f t="shared" si="2"/>
        <v>46080</v>
      </c>
      <c r="BI6" s="50">
        <f t="shared" si="2"/>
        <v>46081</v>
      </c>
      <c r="BJ6" s="48">
        <v>1</v>
      </c>
      <c r="BK6" s="48">
        <v>2</v>
      </c>
      <c r="BL6" s="48">
        <v>3</v>
      </c>
      <c r="BM6" s="48">
        <v>4</v>
      </c>
      <c r="BN6" s="48">
        <v>5</v>
      </c>
      <c r="BO6" s="48">
        <v>6</v>
      </c>
      <c r="BP6" s="48">
        <v>7</v>
      </c>
      <c r="BQ6" s="48">
        <v>8</v>
      </c>
      <c r="BR6" s="48">
        <v>9</v>
      </c>
      <c r="BS6" s="48">
        <v>10</v>
      </c>
      <c r="BT6" s="48">
        <v>11</v>
      </c>
      <c r="BU6" s="48">
        <v>12</v>
      </c>
      <c r="BV6" s="48">
        <v>13</v>
      </c>
      <c r="BW6" s="48">
        <v>14</v>
      </c>
      <c r="BX6" s="48">
        <v>15</v>
      </c>
      <c r="BY6" s="48">
        <v>16</v>
      </c>
      <c r="BZ6" s="48">
        <v>17</v>
      </c>
      <c r="CA6" s="48">
        <v>18</v>
      </c>
      <c r="CB6" s="48">
        <v>19</v>
      </c>
      <c r="CC6" s="48">
        <v>20</v>
      </c>
      <c r="CD6" s="48">
        <v>21</v>
      </c>
      <c r="CE6" s="48">
        <v>22</v>
      </c>
      <c r="CF6" s="48">
        <v>23</v>
      </c>
      <c r="CG6" s="48">
        <v>24</v>
      </c>
      <c r="CH6" s="48">
        <v>25</v>
      </c>
      <c r="CI6" s="48">
        <v>26</v>
      </c>
      <c r="CJ6" s="48">
        <v>27</v>
      </c>
      <c r="CK6" s="48">
        <v>28</v>
      </c>
      <c r="CL6" s="48">
        <v>29</v>
      </c>
      <c r="CM6" s="48">
        <v>30</v>
      </c>
      <c r="CN6" s="48">
        <v>31</v>
      </c>
      <c r="CO6" s="48">
        <v>32</v>
      </c>
      <c r="CP6" s="48">
        <v>33</v>
      </c>
      <c r="CQ6" s="48">
        <v>34</v>
      </c>
      <c r="CR6" s="48">
        <v>35</v>
      </c>
      <c r="CS6" s="48">
        <v>36</v>
      </c>
      <c r="CT6" s="48">
        <v>37</v>
      </c>
      <c r="CU6" s="48">
        <v>38</v>
      </c>
      <c r="CV6" s="48">
        <v>39</v>
      </c>
      <c r="CW6" s="48">
        <v>40</v>
      </c>
      <c r="CX6" s="48">
        <v>41</v>
      </c>
      <c r="CY6" s="48">
        <v>42</v>
      </c>
      <c r="CZ6" s="48">
        <v>43</v>
      </c>
      <c r="DA6" s="48">
        <v>44</v>
      </c>
      <c r="DB6" s="48">
        <v>45</v>
      </c>
      <c r="DC6" s="48">
        <v>46</v>
      </c>
      <c r="DD6" s="48">
        <v>47</v>
      </c>
      <c r="DE6" s="48">
        <v>48</v>
      </c>
      <c r="DF6" s="48">
        <v>49</v>
      </c>
      <c r="DG6" s="48">
        <v>50</v>
      </c>
      <c r="DH6" s="48">
        <v>51</v>
      </c>
      <c r="DI6" s="48">
        <v>52</v>
      </c>
      <c r="DJ6" s="48">
        <v>53</v>
      </c>
      <c r="DK6" s="48">
        <v>54</v>
      </c>
      <c r="DL6" s="48">
        <v>55</v>
      </c>
      <c r="DM6" s="48">
        <v>56</v>
      </c>
      <c r="DN6" s="48">
        <v>57</v>
      </c>
      <c r="DO6" s="48">
        <v>58</v>
      </c>
      <c r="DP6" s="48">
        <v>59</v>
      </c>
      <c r="DQ6" s="48">
        <v>60</v>
      </c>
      <c r="DR6" s="48">
        <v>30</v>
      </c>
      <c r="DS6" s="48">
        <v>1</v>
      </c>
    </row>
    <row r="7" spans="1:123" ht="15" thickBot="1" x14ac:dyDescent="0.35">
      <c r="A7" s="15" t="s">
        <v>4</v>
      </c>
      <c r="B7" s="16" t="s">
        <v>5</v>
      </c>
      <c r="C7" s="16" t="s">
        <v>6</v>
      </c>
      <c r="D7" s="16" t="s">
        <v>7</v>
      </c>
      <c r="F7" s="16" t="s">
        <v>8</v>
      </c>
      <c r="G7" s="51" t="str">
        <f>LEFT(TEXT(G6,"jjj"),1)</f>
        <v>l</v>
      </c>
      <c r="H7" s="51" t="str">
        <f>LEFT(TEXT(H6,"jjj"),1)</f>
        <v>m</v>
      </c>
      <c r="I7" s="51" t="str">
        <f>LEFT(TEXT(I6,"jjj"),1)</f>
        <v>m</v>
      </c>
      <c r="J7" s="51" t="str">
        <f>LEFT(TEXT(J6,"jjj"),1)</f>
        <v>j</v>
      </c>
      <c r="K7" s="51" t="str">
        <f>LEFT(TEXT(K6,"jjj"),1)</f>
        <v>v</v>
      </c>
      <c r="L7" s="51" t="str">
        <f>LEFT(TEXT(L6,"jjj"),1)</f>
        <v>s</v>
      </c>
      <c r="M7" s="51" t="str">
        <f>LEFT(TEXT(M6,"jjj"),1)</f>
        <v>d</v>
      </c>
      <c r="N7" s="51" t="str">
        <f>LEFT(TEXT(N6,"jjj"),1)</f>
        <v>l</v>
      </c>
      <c r="O7" s="51" t="str">
        <f>LEFT(TEXT(O6,"jjj"),1)</f>
        <v>m</v>
      </c>
      <c r="P7" s="51" t="str">
        <f>LEFT(TEXT(P6,"jjj"),1)</f>
        <v>m</v>
      </c>
      <c r="Q7" s="51" t="str">
        <f>LEFT(TEXT(Q6,"jjj"),1)</f>
        <v>j</v>
      </c>
      <c r="R7" s="51" t="str">
        <f>LEFT(TEXT(R6,"jjj"),1)</f>
        <v>v</v>
      </c>
      <c r="S7" s="51" t="str">
        <f>LEFT(TEXT(S6,"jjj"),1)</f>
        <v>s</v>
      </c>
      <c r="T7" s="51" t="str">
        <f>LEFT(TEXT(T6,"jjj"),1)</f>
        <v>d</v>
      </c>
      <c r="U7" s="51" t="str">
        <f>LEFT(TEXT(U6,"jjj"),1)</f>
        <v>l</v>
      </c>
      <c r="V7" s="51" t="str">
        <f>LEFT(TEXT(V6,"jjj"),1)</f>
        <v>m</v>
      </c>
      <c r="W7" s="51" t="str">
        <f>LEFT(TEXT(W6,"jjj"),1)</f>
        <v>m</v>
      </c>
      <c r="X7" s="51" t="str">
        <f>LEFT(TEXT(X6,"jjj"),1)</f>
        <v>j</v>
      </c>
      <c r="Y7" s="51" t="str">
        <f>LEFT(TEXT(Y6,"jjj"),1)</f>
        <v>v</v>
      </c>
      <c r="Z7" s="51" t="str">
        <f>LEFT(TEXT(Z6,"jjj"),1)</f>
        <v>s</v>
      </c>
      <c r="AA7" s="51" t="str">
        <f>LEFT(TEXT(AA6,"jjj"),1)</f>
        <v>d</v>
      </c>
      <c r="AB7" s="51" t="str">
        <f>LEFT(TEXT(AB6,"jjj"),1)</f>
        <v>l</v>
      </c>
      <c r="AC7" s="51" t="str">
        <f>LEFT(TEXT(AC6,"jjj"),1)</f>
        <v>m</v>
      </c>
      <c r="AD7" s="51" t="str">
        <f>LEFT(TEXT(AD6,"jjj"),1)</f>
        <v>m</v>
      </c>
      <c r="AE7" s="51" t="str">
        <f>LEFT(TEXT(AE6,"jjj"),1)</f>
        <v>j</v>
      </c>
      <c r="AF7" s="51" t="str">
        <f>LEFT(TEXT(AF6,"jjj"),1)</f>
        <v>v</v>
      </c>
      <c r="AG7" s="51" t="str">
        <f>LEFT(TEXT(AG6,"jjj"),1)</f>
        <v>s</v>
      </c>
      <c r="AH7" s="51" t="str">
        <f t="shared" ref="AH7:BJ7" si="3">LEFT(TEXT(AH6,"jjj"),1)</f>
        <v>d</v>
      </c>
      <c r="AI7" s="51" t="str">
        <f t="shared" si="3"/>
        <v>l</v>
      </c>
      <c r="AJ7" s="51" t="str">
        <f t="shared" si="3"/>
        <v>m</v>
      </c>
      <c r="AK7" s="51" t="str">
        <f t="shared" si="3"/>
        <v>m</v>
      </c>
      <c r="AL7" s="51" t="str">
        <f t="shared" si="3"/>
        <v>j</v>
      </c>
      <c r="AM7" s="51" t="str">
        <f t="shared" si="3"/>
        <v>v</v>
      </c>
      <c r="AN7" s="51" t="str">
        <f t="shared" si="3"/>
        <v>s</v>
      </c>
      <c r="AO7" s="51" t="str">
        <f t="shared" si="3"/>
        <v>d</v>
      </c>
      <c r="AP7" s="51" t="str">
        <f t="shared" si="3"/>
        <v>l</v>
      </c>
      <c r="AQ7" s="51" t="str">
        <f t="shared" si="3"/>
        <v>m</v>
      </c>
      <c r="AR7" s="51" t="str">
        <f t="shared" si="3"/>
        <v>m</v>
      </c>
      <c r="AS7" s="51" t="str">
        <f t="shared" si="3"/>
        <v>j</v>
      </c>
      <c r="AT7" s="51" t="str">
        <f t="shared" si="3"/>
        <v>v</v>
      </c>
      <c r="AU7" s="51" t="str">
        <f t="shared" si="3"/>
        <v>s</v>
      </c>
      <c r="AV7" s="51" t="str">
        <f t="shared" si="3"/>
        <v>d</v>
      </c>
      <c r="AW7" s="51" t="str">
        <f t="shared" si="3"/>
        <v>l</v>
      </c>
      <c r="AX7" s="51" t="str">
        <f t="shared" si="3"/>
        <v>m</v>
      </c>
      <c r="AY7" s="51" t="str">
        <f t="shared" si="3"/>
        <v>m</v>
      </c>
      <c r="AZ7" s="51" t="str">
        <f t="shared" si="3"/>
        <v>j</v>
      </c>
      <c r="BA7" s="51" t="str">
        <f t="shared" si="3"/>
        <v>v</v>
      </c>
      <c r="BB7" s="51" t="str">
        <f t="shared" si="3"/>
        <v>s</v>
      </c>
      <c r="BC7" s="51" t="str">
        <f t="shared" si="3"/>
        <v>d</v>
      </c>
      <c r="BD7" s="51" t="str">
        <f t="shared" si="3"/>
        <v>l</v>
      </c>
      <c r="BE7" s="51" t="str">
        <f t="shared" si="3"/>
        <v>m</v>
      </c>
      <c r="BF7" s="51" t="str">
        <f t="shared" si="3"/>
        <v>m</v>
      </c>
      <c r="BG7" s="51" t="str">
        <f t="shared" si="3"/>
        <v>j</v>
      </c>
      <c r="BH7" s="51" t="str">
        <f t="shared" si="3"/>
        <v>v</v>
      </c>
      <c r="BI7" s="51" t="str">
        <f t="shared" si="3"/>
        <v>s</v>
      </c>
      <c r="BJ7" s="51" t="str">
        <f t="shared" si="3"/>
        <v>d</v>
      </c>
      <c r="BK7" s="51" t="str">
        <f t="shared" ref="BK7:BR7" si="4">LEFT(TEXT(BK6,"jjj"),1)</f>
        <v>l</v>
      </c>
      <c r="BL7" s="51" t="str">
        <f t="shared" si="4"/>
        <v>m</v>
      </c>
      <c r="BM7" s="51" t="str">
        <f t="shared" si="4"/>
        <v>m</v>
      </c>
      <c r="BN7" s="51" t="str">
        <f t="shared" si="4"/>
        <v>j</v>
      </c>
      <c r="BO7" s="51" t="str">
        <f t="shared" si="4"/>
        <v>v</v>
      </c>
      <c r="BP7" s="51" t="str">
        <f t="shared" si="4"/>
        <v>s</v>
      </c>
      <c r="BQ7" s="51" t="str">
        <f t="shared" si="4"/>
        <v>d</v>
      </c>
      <c r="BR7" s="51" t="str">
        <f t="shared" si="4"/>
        <v>l</v>
      </c>
      <c r="BS7" s="51" t="str">
        <f t="shared" ref="BS7:CW7" si="5">LEFT(TEXT(BS6,"jjj"),1)</f>
        <v>m</v>
      </c>
      <c r="BT7" s="51" t="str">
        <f t="shared" si="5"/>
        <v>m</v>
      </c>
      <c r="BU7" s="51" t="str">
        <f t="shared" si="5"/>
        <v>j</v>
      </c>
      <c r="BV7" s="51" t="str">
        <f t="shared" si="5"/>
        <v>v</v>
      </c>
      <c r="BW7" s="51" t="str">
        <f t="shared" si="5"/>
        <v>s</v>
      </c>
      <c r="BX7" s="51" t="str">
        <f t="shared" si="5"/>
        <v>d</v>
      </c>
      <c r="BY7" s="51" t="str">
        <f t="shared" si="5"/>
        <v>l</v>
      </c>
      <c r="BZ7" s="51" t="str">
        <f t="shared" si="5"/>
        <v>m</v>
      </c>
      <c r="CA7" s="51" t="str">
        <f t="shared" si="5"/>
        <v>m</v>
      </c>
      <c r="CB7" s="51" t="str">
        <f t="shared" si="5"/>
        <v>j</v>
      </c>
      <c r="CC7" s="51" t="str">
        <f t="shared" si="5"/>
        <v>v</v>
      </c>
      <c r="CD7" s="51" t="str">
        <f t="shared" si="5"/>
        <v>s</v>
      </c>
      <c r="CE7" s="51" t="str">
        <f t="shared" si="5"/>
        <v>d</v>
      </c>
      <c r="CF7" s="51" t="str">
        <f t="shared" si="5"/>
        <v>l</v>
      </c>
      <c r="CG7" s="51" t="str">
        <f t="shared" si="5"/>
        <v>m</v>
      </c>
      <c r="CH7" s="51" t="str">
        <f t="shared" si="5"/>
        <v>m</v>
      </c>
      <c r="CI7" s="51" t="str">
        <f t="shared" si="5"/>
        <v>j</v>
      </c>
      <c r="CJ7" s="51" t="str">
        <f t="shared" si="5"/>
        <v>v</v>
      </c>
      <c r="CK7" s="51" t="str">
        <f t="shared" si="5"/>
        <v>s</v>
      </c>
      <c r="CL7" s="51" t="str">
        <f t="shared" si="5"/>
        <v>d</v>
      </c>
      <c r="CM7" s="51" t="str">
        <f t="shared" si="5"/>
        <v>l</v>
      </c>
      <c r="CN7" s="51" t="str">
        <f t="shared" si="5"/>
        <v>m</v>
      </c>
      <c r="CO7" s="51" t="str">
        <f t="shared" si="5"/>
        <v>m</v>
      </c>
      <c r="CP7" s="51" t="str">
        <f t="shared" si="5"/>
        <v>j</v>
      </c>
      <c r="CQ7" s="51" t="str">
        <f t="shared" si="5"/>
        <v>v</v>
      </c>
      <c r="CR7" s="51" t="str">
        <f t="shared" si="5"/>
        <v>s</v>
      </c>
      <c r="CS7" s="51" t="str">
        <f t="shared" si="5"/>
        <v>d</v>
      </c>
      <c r="CT7" s="51" t="str">
        <f t="shared" si="5"/>
        <v>l</v>
      </c>
      <c r="CU7" s="51" t="str">
        <f t="shared" si="5"/>
        <v>m</v>
      </c>
      <c r="CV7" s="51" t="str">
        <f t="shared" si="5"/>
        <v>m</v>
      </c>
      <c r="CW7" s="51" t="str">
        <f t="shared" si="5"/>
        <v>j</v>
      </c>
      <c r="CX7" s="51" t="str">
        <f t="shared" ref="CX7:DQ7" si="6">LEFT(TEXT(CX6,"jjj"),1)</f>
        <v>v</v>
      </c>
      <c r="CY7" s="51" t="str">
        <f t="shared" si="6"/>
        <v>s</v>
      </c>
      <c r="CZ7" s="51" t="str">
        <f t="shared" si="6"/>
        <v>d</v>
      </c>
      <c r="DA7" s="51" t="str">
        <f t="shared" si="6"/>
        <v>l</v>
      </c>
      <c r="DB7" s="51" t="str">
        <f t="shared" si="6"/>
        <v>m</v>
      </c>
      <c r="DC7" s="51" t="str">
        <f t="shared" si="6"/>
        <v>m</v>
      </c>
      <c r="DD7" s="51" t="str">
        <f t="shared" si="6"/>
        <v>j</v>
      </c>
      <c r="DE7" s="51" t="str">
        <f t="shared" si="6"/>
        <v>v</v>
      </c>
      <c r="DF7" s="51" t="str">
        <f t="shared" si="6"/>
        <v>s</v>
      </c>
      <c r="DG7" s="51" t="str">
        <f t="shared" si="6"/>
        <v>d</v>
      </c>
      <c r="DH7" s="51" t="str">
        <f t="shared" si="6"/>
        <v>l</v>
      </c>
      <c r="DI7" s="51" t="str">
        <f t="shared" si="6"/>
        <v>m</v>
      </c>
      <c r="DJ7" s="51" t="str">
        <f t="shared" si="6"/>
        <v>m</v>
      </c>
      <c r="DK7" s="51" t="str">
        <f t="shared" si="6"/>
        <v>j</v>
      </c>
      <c r="DL7" s="51" t="str">
        <f t="shared" si="6"/>
        <v>v</v>
      </c>
      <c r="DM7" s="51" t="str">
        <f t="shared" si="6"/>
        <v>s</v>
      </c>
      <c r="DN7" s="51" t="str">
        <f t="shared" si="6"/>
        <v>d</v>
      </c>
      <c r="DO7" s="51" t="str">
        <f t="shared" si="6"/>
        <v>l</v>
      </c>
      <c r="DP7" s="51" t="str">
        <f t="shared" si="6"/>
        <v>m</v>
      </c>
      <c r="DQ7" s="51" t="str">
        <f t="shared" si="6"/>
        <v>m</v>
      </c>
      <c r="DR7" s="51" t="s">
        <v>24</v>
      </c>
      <c r="DS7" s="51" t="s">
        <v>25</v>
      </c>
    </row>
    <row r="8" spans="1:123" ht="15" thickBot="1" x14ac:dyDescent="0.35">
      <c r="A8" s="17" t="s">
        <v>9</v>
      </c>
      <c r="B8" s="18"/>
      <c r="C8" s="19"/>
      <c r="D8" s="20"/>
      <c r="F8" s="21"/>
    </row>
    <row r="9" spans="1:123" ht="15" thickBot="1" x14ac:dyDescent="0.35">
      <c r="A9" s="22" t="s">
        <v>10</v>
      </c>
      <c r="B9" s="23"/>
      <c r="C9" s="24">
        <v>46027</v>
      </c>
      <c r="D9" s="24">
        <v>46038</v>
      </c>
      <c r="F9" s="2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</row>
    <row r="10" spans="1:123" ht="15" thickBot="1" x14ac:dyDescent="0.35">
      <c r="A10" s="22" t="s">
        <v>11</v>
      </c>
      <c r="B10" s="23"/>
      <c r="C10" s="24">
        <v>46041</v>
      </c>
      <c r="D10" s="24">
        <v>46052</v>
      </c>
      <c r="F10" s="2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</row>
    <row r="11" spans="1:123" ht="15" thickBot="1" x14ac:dyDescent="0.35">
      <c r="A11" s="22" t="s">
        <v>12</v>
      </c>
      <c r="B11" s="23"/>
      <c r="C11" s="24">
        <v>46055</v>
      </c>
      <c r="D11" s="24">
        <v>46066</v>
      </c>
      <c r="F11" s="2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</row>
    <row r="12" spans="1:123" ht="15" thickBot="1" x14ac:dyDescent="0.35">
      <c r="A12" s="25" t="s">
        <v>13</v>
      </c>
      <c r="B12" s="26"/>
      <c r="C12" s="27"/>
      <c r="D12" s="59"/>
      <c r="F12" s="21"/>
    </row>
    <row r="13" spans="1:123" ht="15" thickBot="1" x14ac:dyDescent="0.35">
      <c r="A13" s="28" t="s">
        <v>14</v>
      </c>
      <c r="B13" s="29"/>
      <c r="C13" s="30">
        <v>46069</v>
      </c>
      <c r="D13" s="30">
        <v>46087</v>
      </c>
      <c r="E13" s="60"/>
      <c r="F13" s="21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</row>
    <row r="14" spans="1:123" ht="15" thickBot="1" x14ac:dyDescent="0.35">
      <c r="A14" s="28" t="s">
        <v>15</v>
      </c>
      <c r="B14" s="29"/>
      <c r="C14" s="30">
        <v>46090</v>
      </c>
      <c r="D14" s="30">
        <v>46101</v>
      </c>
      <c r="F14" s="21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</row>
    <row r="15" spans="1:123" ht="15" thickBot="1" x14ac:dyDescent="0.35">
      <c r="A15" s="31" t="s">
        <v>16</v>
      </c>
      <c r="B15" s="32"/>
      <c r="C15" s="33"/>
      <c r="D15" s="34"/>
      <c r="F15" s="21"/>
    </row>
    <row r="16" spans="1:123" ht="15" thickBot="1" x14ac:dyDescent="0.35">
      <c r="A16" s="35" t="s">
        <v>17</v>
      </c>
      <c r="B16" s="36"/>
      <c r="C16" s="37">
        <v>46104</v>
      </c>
      <c r="D16" s="37">
        <v>46122</v>
      </c>
      <c r="F16" s="21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</row>
    <row r="17" spans="1:116" ht="15" thickBot="1" x14ac:dyDescent="0.35">
      <c r="A17" s="35" t="s">
        <v>18</v>
      </c>
      <c r="B17" s="36"/>
      <c r="C17" s="37">
        <v>46125</v>
      </c>
      <c r="D17" s="37">
        <v>46136</v>
      </c>
      <c r="F17" s="21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</row>
    <row r="18" spans="1:116" ht="15" thickBot="1" x14ac:dyDescent="0.35">
      <c r="A18" s="38"/>
      <c r="B18" s="39"/>
      <c r="C18" s="40"/>
      <c r="D18" s="41"/>
      <c r="E18" s="41"/>
      <c r="F18" s="21" t="str">
        <f t="shared" ref="F18:F19" si="7">IF(OR(ISBLANK(début_tâche),ISBLANK(fin_tâche)),"",fin_tâche-début_tâche+1)</f>
        <v/>
      </c>
    </row>
    <row r="19" spans="1:116" ht="15" thickBot="1" x14ac:dyDescent="0.35">
      <c r="A19" s="42" t="s">
        <v>19</v>
      </c>
      <c r="B19" s="43"/>
      <c r="C19" s="44"/>
      <c r="D19" s="45"/>
      <c r="E19" s="46"/>
      <c r="F19" s="47" t="str">
        <f t="shared" si="7"/>
        <v/>
      </c>
    </row>
  </sheetData>
  <mergeCells count="7">
    <mergeCell ref="AH5:BI5"/>
    <mergeCell ref="BJ5:CN5"/>
    <mergeCell ref="G5:AG5"/>
    <mergeCell ref="CO5:DR5"/>
    <mergeCell ref="B3:C3"/>
    <mergeCell ref="D3:E3"/>
    <mergeCell ref="B4:C4"/>
  </mergeCells>
  <phoneticPr fontId="15" type="noConversion"/>
  <conditionalFormatting sqref="C18:C19 B8:B17">
    <cfRule type="dataBar" priority="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{E06EF48C-18CE-422C-AFE6-44F9B0B90361}</x14:id>
        </ext>
      </extLst>
    </cfRule>
  </conditionalFormatting>
  <conditionalFormatting sqref="G6:AG7">
    <cfRule type="expression" dxfId="3" priority="5">
      <formula>AND(TODAY()&gt;=G$5,TODAY()&lt;H$5)</formula>
    </cfRule>
  </conditionalFormatting>
  <conditionalFormatting sqref="AH6:BI7">
    <cfRule type="expression" dxfId="2" priority="4">
      <formula>AND(TODAY()&gt;=AH$5,TODAY()&lt;AI$5)</formula>
    </cfRule>
  </conditionalFormatting>
  <conditionalFormatting sqref="BJ7:DS7">
    <cfRule type="expression" dxfId="1" priority="3">
      <formula>AND(TODAY()&gt;=BJ$5,TODAY()&lt;BK$5)</formula>
    </cfRule>
  </conditionalFormatting>
  <conditionalFormatting sqref="BJ6:DS6">
    <cfRule type="expression" dxfId="0" priority="1">
      <formula>AND(TODAY()&gt;=BJ$5,TODAY()&lt;BK$5)</formula>
    </cfRule>
  </conditionalFormatting>
  <dataValidations count="1">
    <dataValidation type="whole" operator="greaterThanOrEqual" allowBlank="1" showInputMessage="1" promptTitle="Semaine d’affichage" prompt="La modification de ce nombre entraînera la défilement du diagramme de Gantt." sqref="D4" xr:uid="{AE894C7F-D02E-4EA9-8D3A-126E3FC21A0C}">
      <formula1>1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6EF48C-18CE-422C-AFE6-44F9B0B903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C18:C19 B8:B17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Payen</dc:creator>
  <cp:lastModifiedBy>Armand Payen</cp:lastModifiedBy>
  <cp:lastPrinted>2026-04-08T14:47:59Z</cp:lastPrinted>
  <dcterms:created xsi:type="dcterms:W3CDTF">2026-04-08T14:30:03Z</dcterms:created>
  <dcterms:modified xsi:type="dcterms:W3CDTF">2026-04-09T06:11:13Z</dcterms:modified>
</cp:coreProperties>
</file>